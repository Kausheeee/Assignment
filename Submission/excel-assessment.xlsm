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pradeep badi\Desktop\MapUp-Data-Assessment-F-main\"/>
    </mc:Choice>
  </mc:AlternateContent>
  <xr:revisionPtr revIDLastSave="0" documentId="13_ncr:1_{B1C337B3-DEE0-4531-B994-75F092F645A2}" xr6:coauthVersionLast="47" xr6:coauthVersionMax="47" xr10:uidLastSave="{00000000-0000-0000-0000-000000000000}"/>
  <bookViews>
    <workbookView xWindow="-120" yWindow="-120" windowWidth="20730" windowHeight="1116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a="1"/>
  <c r="C22" i="19"/>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7" i="16"/>
  <c r="D46" i="16"/>
  <c r="D47" i="16"/>
  <c r="D48" i="16"/>
  <c r="D49" i="16"/>
  <c r="D50" i="16"/>
  <c r="D51" i="16"/>
  <c r="D52" i="16"/>
  <c r="D53" i="16"/>
  <c r="D54" i="16"/>
  <c r="D32" i="16"/>
  <c r="D33" i="16"/>
  <c r="D34" i="16"/>
  <c r="D35" i="16"/>
  <c r="D36" i="16"/>
  <c r="D37" i="16"/>
  <c r="D38" i="16"/>
  <c r="D39" i="16"/>
  <c r="D40" i="16"/>
  <c r="D41" i="16"/>
  <c r="D42" i="16"/>
  <c r="D43" i="16"/>
  <c r="D44" i="16"/>
  <c r="D45" i="16"/>
  <c r="D20" i="16"/>
  <c r="D21" i="16"/>
  <c r="D22" i="16"/>
  <c r="D23" i="16"/>
  <c r="D24" i="16"/>
  <c r="D25" i="16"/>
  <c r="D26" i="16"/>
  <c r="D27" i="16"/>
  <c r="D28" i="16"/>
  <c r="D29" i="16"/>
  <c r="D30" i="16"/>
  <c r="D31" i="16"/>
  <c r="D18" i="16"/>
  <c r="D19" i="16"/>
  <c r="D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7" i="16"/>
  <c r="C30" i="18"/>
  <c r="D30" i="18"/>
  <c r="E30" i="18"/>
  <c r="F30" i="18"/>
  <c r="C29" i="18"/>
  <c r="D29" i="18"/>
  <c r="E29" i="18"/>
  <c r="F29" i="18"/>
  <c r="C28" i="18"/>
  <c r="D28" i="18"/>
  <c r="E28" i="18"/>
  <c r="F28" i="18"/>
  <c r="B30" i="18"/>
  <c r="B29" i="18"/>
  <c r="B28" i="18"/>
  <c r="F21" i="18"/>
  <c r="F22" i="18"/>
  <c r="F23" i="18"/>
  <c r="F24" i="18"/>
  <c r="F25" i="18"/>
  <c r="F26" i="18"/>
  <c r="F27" i="18"/>
  <c r="F7" i="18"/>
  <c r="F8" i="18"/>
  <c r="F9" i="18"/>
  <c r="F10" i="18"/>
  <c r="F11" i="18"/>
  <c r="F12" i="18"/>
  <c r="F13" i="18"/>
  <c r="F14" i="18"/>
  <c r="F15" i="18"/>
  <c r="F16" i="18"/>
  <c r="F17" i="18"/>
  <c r="F18" i="18"/>
  <c r="F19" i="18"/>
  <c r="F20" i="18"/>
  <c r="F6" i="18"/>
  <c r="E22" i="18"/>
  <c r="E23" i="18"/>
  <c r="E24" i="18"/>
  <c r="E25" i="18"/>
  <c r="E26" i="18"/>
  <c r="E27" i="18"/>
  <c r="E7" i="18"/>
  <c r="E8" i="18"/>
  <c r="E9" i="18"/>
  <c r="E10" i="18"/>
  <c r="E11" i="18"/>
  <c r="E12" i="18"/>
  <c r="E13" i="18"/>
  <c r="E14" i="18"/>
  <c r="E15" i="18"/>
  <c r="E16" i="18"/>
  <c r="E17" i="18"/>
  <c r="E18" i="18"/>
  <c r="E19" i="18"/>
  <c r="E20" i="18"/>
  <c r="E21" i="18"/>
  <c r="E6" i="18"/>
  <c r="D12" i="18"/>
  <c r="D13" i="18"/>
  <c r="D14" i="18"/>
  <c r="D15" i="18"/>
  <c r="D16" i="18"/>
  <c r="D17" i="18"/>
  <c r="D18" i="18"/>
  <c r="D19" i="18"/>
  <c r="D20" i="18"/>
  <c r="D21" i="18"/>
  <c r="D22" i="18"/>
  <c r="D23" i="18"/>
  <c r="D24" i="18"/>
  <c r="D25" i="18"/>
  <c r="D26" i="18"/>
  <c r="D27" i="18"/>
  <c r="D7" i="18"/>
  <c r="D8" i="18"/>
  <c r="D9" i="18"/>
  <c r="D10" i="18"/>
  <c r="D11"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C5"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<sst xmlns="http://schemas.openxmlformats.org/spreadsheetml/2006/main" count="329" uniqueCount="184">
  <si>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</si>
  <si>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</si>
  <si>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</si>
  <si>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</si>
  <si>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</si>
  <si>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</si>
  <si>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</si>
  <si>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</si>
  <si>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</si>
  <si>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</si>
  <si>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</si>
  <si>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</si>
  <si>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</si>
  <si>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</si>
  <si>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</si>
  <si>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</si>
  <si>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</si>
  <si>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</si>
  <si>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</si>
  <si>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</si>
  <si>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</si>
  <si>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</si>
  <si>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</si>
  <si>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</si>
  <si>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</si>
  <si>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</si>
  <si>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</si>
  <si>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</si>
  <si>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</si>
  <si>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</si>
  <si>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</si>
  <si>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</si>
  <si>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</si>
  <si>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</si>
  <si>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</si>
  <si>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</si>
  <si>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</si>
  <si>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</si>
  <si>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</si>
  <si>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</si>
  <si>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</si>
  <si>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</si>
  <si>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</si>
  <si>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</si>
  <si>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</si>
  <si>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</si>
  <si>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</si>
  <si>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</si>
  <si>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</si>
  <si>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</si>
  <si>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</si>
  <si>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</si>
  <si>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</si>
  <si>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</si>
  <si>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</si>
  <si>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</si>
  <si>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</si>
  <si>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</si>
  <si>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</si>
  <si>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</si>
  <si>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</si>
  <si>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</si>
  <si>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</si>
  <si>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</si>
  <si>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</si>
  <si>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</si>
  <si>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</si>
  <si>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</si>
  <si>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</si>
  <si>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</si>
  <si>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</si>
  <si>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</si>
  <si>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</si>
  <si>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</si>
  <si>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</si>
  <si>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</si>
  <si>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</si>
  <si>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</si>
  <si>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</si>
  <si>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</si>
  <si>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</si>
  <si>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</si>
  <si>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</si>
  <si>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</si>
  <si>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</si>
  <si>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</si>
  <si>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</si>
  <si>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</si>
  <si>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</si>
  <si>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</si>
  <si>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</si>
  <si>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</si>
  <si>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</si>
  <si>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</si>
  <si>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</si>
  <si>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</si>
  <si>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</si>
  <si>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</si>
  <si>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</si>
  <si>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</si>
  <si>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</si>
  <si>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</si>
  <si>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</si>
  <si>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</si>
  <si>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</si>
  <si>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</si>
  <si>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</si>
  <si>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</si>
  <si>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</si>
  <si>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</si>
  <si>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</si>
  <si>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</si>
  <si>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</si>
  <si>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</si>
  <si>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</si>
  <si>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</si>
  <si>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</si>
  <si>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</si>
  <si>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</si>
  <si>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</si>
  <si>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</si>
  <si>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</si>
  <si>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</si>
  <si>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</si>
  <si>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</si>
  <si>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</si>
  <si>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</si>
  <si>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</si>
  <si>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</si>
  <si>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</si>
  <si>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</si>
  <si>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</si>
  <si>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</si>
  <si>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</si>
  <si>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</si>
  <si>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</si>
  <si>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</si>
  <si>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</si>
  <si>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</si>
  <si>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</si>
  <si>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</si>
  <si>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</si>
  <si>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</si>
  <si>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</si>
  <si>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</si>
  <si>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</si>
  <si>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</si>
  <si>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</si>
  <si>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</si>
  <si>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</si>
  <si>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</si>
  <si>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</si>
  <si>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</si>
  <si>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</si>
  <si>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</si>
  <si>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</si>
  <si>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</si>
  <si>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</si>
  <si>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</si>
  <si>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</si>
  <si>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</si>
  <si>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</si>
  <si>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</si>
  <si>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</si>
  <si>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</si>
  <si>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</si>
  <si>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</si>
  <si>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</si>
  <si>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</si>
  <si>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</si>
  <si>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</si>
  <si>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</si>
  <si>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</si>
  <si>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</si>
  <si>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</si>
  <si>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</si>
  <si>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</si>
  <si>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2---</t>
  </si>
  <si>
    <t>~=TRIM(MID(SUBSTITUTE("-" &amp; A1, "-", REPT(" ", LEN(A1))), SEARCH("target_word", SUBSTITUTE("-" &amp; A1, "-", REPT(" ", LEN(A1)))) + 1, LEN("target_word")))</t>
  </si>
  <si>
    <t>This formula extracts a specific target word from a text string with hyphens. It replaces hyphens with spaces, locates the position of the target word in the modified text, extracts the word, and trims any extra spaces. The formula is flexible and can be used to extract different words by replacing "target_word" with the desired word</t>
  </si>
  <si>
    <t>~=SUM(IFNA(C12:C21,20))</t>
  </si>
  <si>
    <t>This formula sums the sales values in the range C12:C21, replacing any #N/A values with 20. Make sure to adjust the range if your data is in a different location.</t>
  </si>
  <si>
    <t>~=INDEX($A$9:$J$18,MATCH(VLOOKUP(A23,$M$9:$N$18,2,FALSE),$A$9:$A$18,0),MATCH(VLOOKUP(B23,$M$9:$N$18,2,FALSE),$A$9:$J$9,0))</t>
  </si>
  <si>
    <t>The formula uses two VLOOKUPs to find values based on A23 and B23, then uses MATCH functions to find their positions in specific ranges. Finally, the INDEX function retrieves the value at the intersection of the found row and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</si>
</sst>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21" x14ac:knownFonts="1">
    <font>
      <sz val="10"/>
      <color rgb="FF000000"/>
      <name val="Times New Roman"/>
      <charset val="204"/>
    </font>
    <font>
      <sz val="11"/>
      <color theme="1"/>
      <name val="Calibri"/>
      <family val="2"/>
      <scheme val="minor"/>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1"/>
      <color rgb="FFFFFFFF"/>
      <name val="Courier New"/>
      <family val="3"/>
    </font>
    <font>
      <sz val="10"/>
      <color theme="1"/>
      <name val="Segoe UI"/>
      <family val="2"/>
    </font>
  </fonts>
  <fills count="10">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7"/>
        <bgColor indexed="64"/>
      </patternFill>
    </fill>
    <fill>
      <patternFill patternType="solid">
        <fgColor theme="7"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6" fillId="0" borderId="0">
      <alignment vertical="top" wrapText="1"/>
    </xf>
    <xf numFmtId="0" fontId="2" fillId="0" borderId="0"/>
  </cellStyleXfs>
  <cellXfs count="55">
    <xf numFmtId="0" fontId="0" fillId="0" borderId="0" xfId="0"/>
    <xf numFmtId="0" fontId="4" fillId="0" borderId="0" xfId="0" applyFont="1"/>
    <xf numFmtId="0" fontId="9" fillId="0" borderId="0" xfId="0" applyFont="1"/>
    <xf numFmtId="0" fontId="8" fillId="0" borderId="0" xfId="0" applyFont="1"/>
    <xf numFmtId="0" fontId="12" fillId="4" borderId="0" xfId="0" applyFont="1" applyFill="1"/>
    <xf numFmtId="0" fontId="7" fillId="0" borderId="0" xfId="0" applyFont="1"/>
    <xf numFmtId="0" fontId="5" fillId="0" borderId="0" xfId="0" applyFont="1" applyAlignment="1">
      <alignment horizontal="center"/>
    </xf>
    <xf numFmtId="0" fontId="4" fillId="0" borderId="2" xfId="0" applyFont="1" applyBorder="1"/>
    <xf numFmtId="0" fontId="4" fillId="0" borderId="4" xfId="0" applyFont="1" applyBorder="1"/>
    <xf numFmtId="0" fontId="4" fillId="0" borderId="5" xfId="0" applyFont="1" applyBorder="1"/>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 xfId="0" applyFont="1" applyBorder="1"/>
    <xf numFmtId="0" fontId="13" fillId="0" borderId="0" xfId="1" applyFont="1"/>
    <xf numFmtId="0" fontId="8" fillId="0" borderId="1" xfId="0" applyFont="1" applyBorder="1"/>
    <xf numFmtId="0" fontId="8" fillId="0" borderId="8" xfId="0" applyFont="1" applyBorder="1"/>
    <xf numFmtId="0" fontId="8" fillId="2" borderId="1" xfId="0" applyFont="1" applyFill="1" applyBorder="1"/>
    <xf numFmtId="0" fontId="8" fillId="3" borderId="1" xfId="0" applyFont="1" applyFill="1" applyBorder="1"/>
    <xf numFmtId="0" fontId="8" fillId="2" borderId="10" xfId="0" applyFont="1" applyFill="1" applyBorder="1"/>
    <xf numFmtId="164" fontId="4" fillId="0" borderId="0" xfId="0" applyNumberFormat="1" applyFont="1"/>
    <xf numFmtId="0" fontId="9" fillId="0" borderId="1" xfId="0" applyFont="1" applyBorder="1"/>
    <xf numFmtId="0" fontId="10" fillId="0" borderId="1" xfId="0" applyFont="1" applyBorder="1"/>
    <xf numFmtId="0" fontId="5" fillId="0" borderId="0" xfId="0" applyFont="1"/>
    <xf numFmtId="164" fontId="5" fillId="0" borderId="0" xfId="0" applyNumberFormat="1" applyFont="1"/>
    <xf numFmtId="0" fontId="8" fillId="2" borderId="0" xfId="0" applyFont="1" applyFill="1"/>
    <xf numFmtId="0" fontId="8" fillId="3" borderId="0" xfId="0" applyFont="1" applyFill="1"/>
    <xf numFmtId="0" fontId="4" fillId="5" borderId="1" xfId="0" applyFont="1" applyFill="1" applyBorder="1"/>
    <xf numFmtId="165" fontId="4" fillId="0" borderId="1" xfId="0" applyNumberFormat="1" applyFont="1" applyBorder="1"/>
    <xf numFmtId="0" fontId="8" fillId="0" borderId="1" xfId="0" applyFont="1" applyBorder="1" applyAlignment="1">
      <alignment vertical="center"/>
    </xf>
    <xf numFmtId="0" fontId="15" fillId="0" borderId="0" xfId="0" applyFont="1"/>
    <xf numFmtId="0" fontId="9" fillId="0" borderId="2" xfId="0" applyFont="1" applyBorder="1"/>
    <xf numFmtId="0" fontId="10" fillId="0" borderId="8" xfId="0" applyFont="1" applyBorder="1"/>
    <xf numFmtId="0" fontId="9" fillId="0" borderId="6" xfId="0" applyFont="1" applyBorder="1"/>
    <xf numFmtId="0" fontId="9" fillId="0" borderId="8" xfId="0" applyFont="1" applyBorder="1"/>
    <xf numFmtId="0" fontId="14" fillId="0" borderId="1" xfId="0" applyFont="1" applyBorder="1"/>
    <xf numFmtId="0" fontId="16" fillId="0" borderId="0" xfId="0" applyFont="1"/>
    <xf numFmtId="0" fontId="17" fillId="0" borderId="0" xfId="0" applyFont="1"/>
    <xf numFmtId="0" fontId="18" fillId="4" borderId="0" xfId="1" applyFont="1" applyFill="1" applyAlignment="1">
      <alignment horizontal="center"/>
    </xf>
    <xf numFmtId="0" fontId="14" fillId="0" borderId="0" xfId="0" applyFont="1"/>
    <xf numFmtId="0" fontId="9" fillId="0" borderId="3" xfId="0" applyFont="1" applyBorder="1"/>
    <xf numFmtId="165" fontId="8" fillId="0" borderId="0" xfId="0" applyNumberFormat="1" applyFont="1"/>
    <xf numFmtId="165" fontId="4" fillId="0" borderId="0" xfId="0" applyNumberFormat="1" applyFont="1"/>
    <xf numFmtId="2" fontId="4" fillId="5" borderId="1" xfId="0" applyNumberFormat="1" applyFont="1" applyFill="1" applyBorder="1"/>
    <xf numFmtId="0" fontId="19" fillId="0" borderId="0" xfId="0" applyFont="1"/>
    <xf numFmtId="0" fontId="10" fillId="6" borderId="0" xfId="0" applyFont="1" applyFill="1" applyAlignment="1">
      <alignment horizontal="center"/>
    </xf>
    <xf numFmtId="0" fontId="20" fillId="7" borderId="0" xfId="0" applyFont="1" applyFill="1"/>
    <xf numFmtId="0" fontId="1" fillId="7" borderId="0" xfId="0" applyFont="1" applyFill="1"/>
    <xf numFmtId="0" fontId="4" fillId="8" borderId="0" xfId="0" applyFont="1" applyFill="1" applyAlignment="1">
      <alignment horizontal="center"/>
    </xf>
    <xf numFmtId="0" fontId="9" fillId="8" borderId="0" xfId="0" applyFont="1" applyFill="1" applyAlignment="1">
      <alignment horizontal="center"/>
    </xf>
    <xf numFmtId="0" fontId="8" fillId="9" borderId="0" xfId="0" applyFont="1" applyFill="1" applyAlignment="1">
      <alignment horizontal="center"/>
    </xf>
    <xf numFmtId="0" fontId="8" fillId="9" borderId="0" xfId="0" applyFont="1" applyFill="1" applyAlignment="1"/>
    <xf numFmtId="0" fontId="10" fillId="9" borderId="0" xfId="0" applyFont="1" applyFill="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2" defaultTableStyle="TableStyleMedium2" defaultPivotStyle="PivotStyleLight16">
    <tableStyle name="Invisible" pivot="0" table="0" count="0" xr9:uid="{C2FDC159-CAC8-49F5-9B7A-1F7D4AB2B690}"/>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C23" sqref="C23"/>
    </sheetView>
  </sheetViews>
  <sheetFormatPr defaultColWidth="11" defaultRowHeight="12.75" x14ac:dyDescent="0.2"/>
  <cols>
    <col min="1" max="1" width="70.83203125" style="2" bestFit="1" customWidth="1"/>
    <col min="2" max="16384" width="11" style="2"/>
  </cols>
  <sheetData>
    <row r="1" spans="1:3" ht="18.75" x14ac:dyDescent="0.3">
      <c r="A1" s="37" t="s">
        <v>108</v>
      </c>
    </row>
    <row r="2" spans="1:3" x14ac:dyDescent="0.2">
      <c r="A2" s="2" t="s">
        <v>109</v>
      </c>
    </row>
    <row r="3" spans="1:3" x14ac:dyDescent="0.2">
      <c r="A3" s="2" t="s">
        <v>110</v>
      </c>
    </row>
    <row r="4" spans="1:3" ht="15" x14ac:dyDescent="0.25">
      <c r="A4" s="2" t="s">
        <v>111</v>
      </c>
      <c r="C4" s="1"/>
    </row>
    <row r="5" spans="1:3" x14ac:dyDescent="0.2">
      <c r="A5" s="2" t="s">
        <v>152</v>
      </c>
    </row>
    <row r="8" spans="1:3" x14ac:dyDescent="0.2">
      <c r="A8" s="2" t="s">
        <v>173</v>
      </c>
    </row>
    <row r="9" spans="1:3" x14ac:dyDescent="0.2">
      <c r="A9" s="34" t="s">
        <v>171</v>
      </c>
      <c r="B9" s="24" t="s">
        <v>169</v>
      </c>
    </row>
    <row r="10" spans="1:3" x14ac:dyDescent="0.2">
      <c r="A10" s="33" t="s">
        <v>172</v>
      </c>
      <c r="B10" s="35">
        <v>25</v>
      </c>
    </row>
    <row r="11" spans="1:3" x14ac:dyDescent="0.2">
      <c r="A11" s="33" t="s">
        <v>55</v>
      </c>
      <c r="B11" s="35">
        <v>30</v>
      </c>
    </row>
    <row r="12" spans="1:3" x14ac:dyDescent="0.2">
      <c r="A12" s="33" t="s">
        <v>56</v>
      </c>
      <c r="B12" s="35">
        <v>10</v>
      </c>
    </row>
    <row r="13" spans="1:3" x14ac:dyDescent="0.2">
      <c r="A13" s="33" t="s">
        <v>85</v>
      </c>
      <c r="B13" s="35">
        <v>20</v>
      </c>
    </row>
    <row r="14" spans="1:3" x14ac:dyDescent="0.2">
      <c r="A14" s="33" t="s">
        <v>98</v>
      </c>
      <c r="B14" s="35">
        <v>40</v>
      </c>
    </row>
    <row r="15" spans="1:3" x14ac:dyDescent="0.2">
      <c r="A15" s="36" t="s">
        <v>170</v>
      </c>
      <c r="B15" s="23">
        <v>125</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opLeftCell="C1" zoomScaleNormal="100" workbookViewId="0">
      <pane ySplit="1" topLeftCell="A2" activePane="bottomLeft" state="frozen"/>
      <selection activeCell="D1" sqref="D1"/>
      <selection pane="bottomLeft" activeCell="T13" sqref="T13"/>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3.6640625" style="22" customWidth="1"/>
    <col min="5" max="5" width="9.1640625" style="1" bestFit="1" customWidth="1"/>
    <col min="6" max="6" width="10.33203125" style="22"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44" bestFit="1" customWidth="1"/>
    <col min="25" max="16384" width="9" style="1"/>
  </cols>
  <sheetData>
    <row r="1" spans="1:24" s="3" customFormat="1" ht="14.85" customHeight="1" x14ac:dyDescent="0.25">
      <c r="A1" s="25" t="s">
        <v>64</v>
      </c>
      <c r="B1" s="25" t="s">
        <v>43</v>
      </c>
      <c r="C1" s="25" t="s">
        <v>0</v>
      </c>
      <c r="D1" s="26" t="s">
        <v>1</v>
      </c>
      <c r="E1" s="25" t="s">
        <v>2</v>
      </c>
      <c r="F1" s="26" t="s">
        <v>3</v>
      </c>
      <c r="G1" s="27" t="s">
        <v>79</v>
      </c>
      <c r="H1" s="27" t="s">
        <v>65</v>
      </c>
      <c r="I1" s="27" t="s">
        <v>66</v>
      </c>
      <c r="J1" s="28" t="s">
        <v>67</v>
      </c>
      <c r="K1" s="28" t="s">
        <v>68</v>
      </c>
      <c r="L1" s="28" t="s">
        <v>69</v>
      </c>
      <c r="M1" s="27" t="s">
        <v>70</v>
      </c>
      <c r="N1" s="27" t="s">
        <v>71</v>
      </c>
      <c r="O1" s="27" t="s">
        <v>72</v>
      </c>
      <c r="P1" s="28" t="s">
        <v>73</v>
      </c>
      <c r="Q1" s="28" t="s">
        <v>74</v>
      </c>
      <c r="R1" s="28" t="s">
        <v>75</v>
      </c>
      <c r="S1" s="27" t="s">
        <v>80</v>
      </c>
      <c r="T1" s="27" t="s">
        <v>76</v>
      </c>
      <c r="U1" s="28" t="s">
        <v>81</v>
      </c>
      <c r="V1" s="28" t="s">
        <v>77</v>
      </c>
      <c r="W1" s="28" t="s">
        <v>78</v>
      </c>
      <c r="X1" s="43" t="s">
        <v>105</v>
      </c>
    </row>
    <row r="2" spans="1:24" x14ac:dyDescent="0.25">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25">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25">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25">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25">
      <c r="A6" s="1" t="s">
        <v>9</v>
      </c>
      <c r="B6" s="1">
        <v>20008</v>
      </c>
      <c r="C6" s="1" t="s">
        <v>5</v>
      </c>
      <c r="D6" s="22">
        <v>0</v>
      </c>
      <c r="E6" s="1" t="s">
        <v>6</v>
      </c>
      <c r="F6" s="22">
        <v>0.99998842592592585</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25">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25">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25">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25">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25">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25">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25">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25">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25">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25">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25">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25">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25">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25">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25">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25">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25">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25">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25">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25">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25">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25">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25">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25">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25">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25">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25">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25">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25">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25">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25">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25">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25">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25">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sheetData>
  <conditionalFormatting sqref="A1:A1048576">
    <cfRule type="duplicateValues" dxfId="3" priority="7"/>
  </conditionalFormatting>
  <conditionalFormatting sqref="B1:B1048576">
    <cfRule type="duplicateValues" dxfId="2" priority="6"/>
  </conditionalFormatting>
  <conditionalFormatting sqref="J1:L1048576">
    <cfRule type="cellIs" dxfId="1" priority="4" operator="equal">
      <formula>-1</formula>
    </cfRule>
  </conditionalFormatting>
  <conditionalFormatting sqref="A1:C40 E1:X40">
    <cfRule type="cellIs" dxfId="0" priority="3" operator="equal">
      <formula>0</formula>
    </cfRule>
    <cfRule type="containsText" priority="1" operator="containsText" text="00:00">
      <formula>NOT(ISERROR(SEARCH("00:00",A1)))</formula>
    </cfRule>
  </conditionalFormatting>
  <conditionalFormatting sqref="I11">
    <cfRule type="cellIs"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8" sqref="C8"/>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x14ac:dyDescent="0.25">
      <c r="A1" s="4" t="s">
        <v>47</v>
      </c>
      <c r="B1" s="4" t="s">
        <v>48</v>
      </c>
      <c r="C1" s="4" t="s">
        <v>44</v>
      </c>
      <c r="E1" s="4" t="s">
        <v>176</v>
      </c>
    </row>
    <row r="2" spans="1:5" x14ac:dyDescent="0.25">
      <c r="A2" s="2"/>
      <c r="B2" s="5" t="s">
        <v>160</v>
      </c>
      <c r="C2" s="2"/>
    </row>
    <row r="3" spans="1:5" x14ac:dyDescent="0.25">
      <c r="A3" s="6">
        <v>1</v>
      </c>
      <c r="B3" s="2" t="s">
        <v>107</v>
      </c>
      <c r="C3" s="2" t="s">
        <v>45</v>
      </c>
      <c r="E3" s="1">
        <v>5</v>
      </c>
    </row>
    <row r="4" spans="1:5" x14ac:dyDescent="0.25">
      <c r="A4" s="6">
        <v>2</v>
      </c>
      <c r="B4" s="2" t="s">
        <v>46</v>
      </c>
      <c r="C4" s="2"/>
      <c r="E4" s="1">
        <v>5</v>
      </c>
    </row>
    <row r="5" spans="1:5" x14ac:dyDescent="0.25">
      <c r="A5" s="6">
        <v>3</v>
      </c>
      <c r="B5" s="2" t="s">
        <v>104</v>
      </c>
      <c r="C5" s="32">
        <f>SUMIF(Dataset!H2:H40,"&gt;20")</f>
        <v>1473.0000000000002</v>
      </c>
      <c r="E5" s="1">
        <v>10</v>
      </c>
    </row>
    <row r="6" spans="1:5" x14ac:dyDescent="0.25">
      <c r="A6" s="6">
        <v>4</v>
      </c>
      <c r="B6" s="2" t="s">
        <v>106</v>
      </c>
      <c r="C6" s="2"/>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I26" sqref="I26"/>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39" customFormat="1" ht="21" x14ac:dyDescent="0.35">
      <c r="A1" s="40" t="s">
        <v>55</v>
      </c>
      <c r="B1" s="39" t="s">
        <v>164</v>
      </c>
    </row>
    <row r="2" spans="1:7" s="39" customFormat="1" ht="21" x14ac:dyDescent="0.35">
      <c r="B2" s="39" t="s">
        <v>161</v>
      </c>
    </row>
    <row r="3" spans="1:7" ht="15" x14ac:dyDescent="0.25">
      <c r="A3" s="1"/>
      <c r="B3" s="1"/>
      <c r="C3" s="1"/>
      <c r="D3" s="1"/>
      <c r="E3" s="1"/>
      <c r="F3" s="1"/>
      <c r="G3" s="1"/>
    </row>
    <row r="4" spans="1:7" ht="23.25" x14ac:dyDescent="0.35">
      <c r="A4" s="16" t="s">
        <v>162</v>
      </c>
      <c r="B4" s="1"/>
      <c r="C4" s="1"/>
      <c r="D4" s="1"/>
      <c r="E4" s="1"/>
      <c r="F4" s="1"/>
      <c r="G4" s="1"/>
    </row>
    <row r="5" spans="1:7" ht="15" x14ac:dyDescent="0.25">
      <c r="A5" s="18" t="s">
        <v>64</v>
      </c>
      <c r="B5" s="19" t="s">
        <v>79</v>
      </c>
      <c r="C5" s="20" t="s">
        <v>71</v>
      </c>
      <c r="D5" s="19" t="s">
        <v>75</v>
      </c>
      <c r="E5" s="20" t="s">
        <v>76</v>
      </c>
      <c r="F5" s="21" t="s">
        <v>77</v>
      </c>
    </row>
    <row r="6" spans="1:7" ht="15" x14ac:dyDescent="0.25">
      <c r="A6" s="7" t="s">
        <v>40</v>
      </c>
      <c r="B6" s="10">
        <f>VLOOKUP(Task_2!A6,Dataset!$A$1:$X$40,7,FALSE)</f>
        <v>2.7</v>
      </c>
      <c r="C6" s="10">
        <f>INDEX(Dataset!$A$1:$X$40,MATCH($A6,Dataset!$A$1:$A$40,0),MATCH(C$5,Dataset!$A$1:$X$1,0))</f>
        <v>7.6</v>
      </c>
      <c r="D6" s="10">
        <f>INDEX(Dataset!$A$1:$X$40,MATCH($A6,Dataset!$A$1:$A$40,0),MATCH(D$5,Dataset!$A$1:$X$1,0))</f>
        <v>4.2</v>
      </c>
      <c r="E6" s="10">
        <f>INDEX(Dataset!$A$1:$X$40,MATCH($A6,Dataset!$A$1:$A$40,0),MATCH(E$5,Dataset!$A$1:$X$1,0))</f>
        <v>8.9</v>
      </c>
      <c r="F6" s="10">
        <f>INDEX(Dataset!$A$1:$X$40,MATCH($A6,Dataset!$A$1:$A$40,0),MATCH(F$5,Dataset!$A$1:$X$1,0))</f>
        <v>4.2</v>
      </c>
    </row>
    <row r="7" spans="1:7" ht="15" x14ac:dyDescent="0.25">
      <c r="A7" s="7" t="s">
        <v>4</v>
      </c>
      <c r="B7" s="10">
        <f>VLOOKUP(Task_2!A7,Dataset!$A$1:$X$40,7,FALSE)</f>
        <v>2.7</v>
      </c>
      <c r="C7" s="10">
        <f>INDEX(Dataset!$A$1:$X$40,MATCH($A7,Dataset!$A$1:$A$40,0),MATCH(C$5,Dataset!$A$1:$X$1,0))</f>
        <v>7.6</v>
      </c>
      <c r="D7" s="10">
        <f>INDEX(Dataset!$A$1:$X$40,MATCH($A7,Dataset!$A$1:$A$40,0),MATCH(D$5,Dataset!$A$1:$X$1,0))</f>
        <v>4.2</v>
      </c>
      <c r="E7" s="10">
        <f>INDEX(Dataset!$A$1:$X$40,MATCH($A7,Dataset!$A$1:$A$40,0),MATCH(E$5,Dataset!$A$1:$X$1,0))</f>
        <v>8.9</v>
      </c>
      <c r="F7" s="10">
        <f>INDEX(Dataset!$A$1:$X$40,MATCH($A7,Dataset!$A$1:$A$40,0),MATCH(F$5,Dataset!$A$1:$X$1,0))</f>
        <v>4.2</v>
      </c>
    </row>
    <row r="8" spans="1:7" ht="15" x14ac:dyDescent="0.25">
      <c r="A8" s="7" t="s">
        <v>7</v>
      </c>
      <c r="B8" s="10">
        <f>VLOOKUP(Task_2!A8,Dataset!$A$1:$X$40,7,FALSE)</f>
        <v>3.6</v>
      </c>
      <c r="C8" s="10">
        <f>INDEX(Dataset!$A$1:$X$40,MATCH($A8,Dataset!$A$1:$A$40,0),MATCH(C$5,Dataset!$A$1:$X$1,0))</f>
        <v>11.1</v>
      </c>
      <c r="D8" s="10">
        <f>INDEX(Dataset!$A$1:$X$40,MATCH($A8,Dataset!$A$1:$A$40,0),MATCH(D$5,Dataset!$A$1:$X$1,0))</f>
        <v>5.8</v>
      </c>
      <c r="E8" s="10">
        <f>INDEX(Dataset!$A$1:$X$40,MATCH($A8,Dataset!$A$1:$A$40,0),MATCH(E$5,Dataset!$A$1:$X$1,0))</f>
        <v>12.2</v>
      </c>
      <c r="F8" s="10">
        <f>INDEX(Dataset!$A$1:$X$40,MATCH($A8,Dataset!$A$1:$A$40,0),MATCH(F$5,Dataset!$A$1:$X$1,0))</f>
        <v>5.8</v>
      </c>
    </row>
    <row r="9" spans="1:7" ht="15" x14ac:dyDescent="0.25">
      <c r="A9" s="7" t="s">
        <v>8</v>
      </c>
      <c r="B9" s="10">
        <f>VLOOKUP(Task_2!A9,Dataset!$A$1:$X$40,7,FALSE)</f>
        <v>4.9000000000000004</v>
      </c>
      <c r="C9" s="10">
        <f>INDEX(Dataset!$A$1:$X$40,MATCH($A9,Dataset!$A$1:$A$40,0),MATCH(C$5,Dataset!$A$1:$X$1,0))</f>
        <v>13.3</v>
      </c>
      <c r="D9" s="10">
        <f>INDEX(Dataset!$A$1:$X$40,MATCH($A9,Dataset!$A$1:$A$40,0),MATCH(D$5,Dataset!$A$1:$X$1,0))</f>
        <v>8.1</v>
      </c>
      <c r="E9" s="10">
        <f>INDEX(Dataset!$A$1:$X$40,MATCH($A9,Dataset!$A$1:$A$40,0),MATCH(E$5,Dataset!$A$1:$X$1,0))</f>
        <v>17</v>
      </c>
      <c r="F9" s="10">
        <f>INDEX(Dataset!$A$1:$X$40,MATCH($A9,Dataset!$A$1:$A$40,0),MATCH(F$5,Dataset!$A$1:$X$1,0))</f>
        <v>8.1</v>
      </c>
    </row>
    <row r="10" spans="1:7" ht="15" x14ac:dyDescent="0.25">
      <c r="A10" s="7" t="s">
        <v>11</v>
      </c>
      <c r="B10" s="10">
        <f>VLOOKUP(Task_2!A10,Dataset!$A$1:$X$40,7,FALSE)</f>
        <v>9.4</v>
      </c>
      <c r="C10" s="10">
        <f>INDEX(Dataset!$A$1:$X$40,MATCH($A10,Dataset!$A$1:$A$40,0),MATCH(C$5,Dataset!$A$1:$X$1,0))</f>
        <v>28.3</v>
      </c>
      <c r="D10" s="10">
        <f>INDEX(Dataset!$A$1:$X$40,MATCH($A10,Dataset!$A$1:$A$40,0),MATCH(D$5,Dataset!$A$1:$X$1,0))</f>
        <v>16.100000000000001</v>
      </c>
      <c r="E10" s="10">
        <f>INDEX(Dataset!$A$1:$X$40,MATCH($A10,Dataset!$A$1:$A$40,0),MATCH(E$5,Dataset!$A$1:$X$1,0))</f>
        <v>32.799999999999997</v>
      </c>
      <c r="F10" s="10">
        <f>INDEX(Dataset!$A$1:$X$40,MATCH($A10,Dataset!$A$1:$A$40,0),MATCH(F$5,Dataset!$A$1:$X$1,0))</f>
        <v>16.100000000000001</v>
      </c>
    </row>
    <row r="11" spans="1:7" ht="15" x14ac:dyDescent="0.25">
      <c r="A11" s="7" t="s">
        <v>12</v>
      </c>
      <c r="B11" s="10">
        <f>VLOOKUP(Task_2!A11,Dataset!$A$1:$X$40,7,FALSE)</f>
        <v>11.6</v>
      </c>
      <c r="C11" s="10">
        <f>INDEX(Dataset!$A$1:$X$40,MATCH($A11,Dataset!$A$1:$A$40,0),MATCH(C$5,Dataset!$A$1:$X$1,0))</f>
        <v>35.200000000000003</v>
      </c>
      <c r="D11" s="10">
        <f>INDEX(Dataset!$A$1:$X$40,MATCH($A11,Dataset!$A$1:$A$40,0),MATCH(D$5,Dataset!$A$1:$X$1,0))</f>
        <v>21.3</v>
      </c>
      <c r="E11" s="10">
        <f>INDEX(Dataset!$A$1:$X$40,MATCH($A11,Dataset!$A$1:$A$40,0),MATCH(E$5,Dataset!$A$1:$X$1,0))</f>
        <v>43</v>
      </c>
      <c r="F11" s="10">
        <f>INDEX(Dataset!$A$1:$X$40,MATCH($A11,Dataset!$A$1:$A$40,0),MATCH(F$5,Dataset!$A$1:$X$1,0))</f>
        <v>21.3</v>
      </c>
    </row>
    <row r="12" spans="1:7" ht="15" x14ac:dyDescent="0.25">
      <c r="A12" s="7" t="s">
        <v>14</v>
      </c>
      <c r="B12" s="10">
        <f>VLOOKUP(Task_2!A12,Dataset!$A$1:$X$40,7,FALSE)</f>
        <v>18.399999999999999</v>
      </c>
      <c r="C12" s="10">
        <f>INDEX(Dataset!$A$1:$X$40,MATCH($A12,Dataset!$A$1:$A$40,0),MATCH(C$5,Dataset!$A$1:$X$1,0))</f>
        <v>55.6</v>
      </c>
      <c r="D12" s="10">
        <f>INDEX(Dataset!$A$1:$X$40,MATCH($A12,Dataset!$A$1:$A$40,0),MATCH(D$5,Dataset!$A$1:$X$1,0))</f>
        <v>33.799999999999997</v>
      </c>
      <c r="E12" s="10">
        <f>INDEX(Dataset!$A$1:$X$40,MATCH($A12,Dataset!$A$1:$A$40,0),MATCH(E$5,Dataset!$A$1:$X$1,0))</f>
        <v>67.900000000000006</v>
      </c>
      <c r="F12" s="10">
        <f>INDEX(Dataset!$A$1:$X$40,MATCH($A12,Dataset!$A$1:$A$40,0),MATCH(F$5,Dataset!$A$1:$X$1,0))</f>
        <v>33.799999999999997</v>
      </c>
    </row>
    <row r="13" spans="1:7" ht="15" x14ac:dyDescent="0.25">
      <c r="A13" s="7" t="s">
        <v>15</v>
      </c>
      <c r="B13" s="10">
        <f>VLOOKUP(Task_2!A13,Dataset!$A$1:$X$40,7,FALSE)</f>
        <v>0</v>
      </c>
      <c r="C13" s="10">
        <f>INDEX(Dataset!$A$1:$X$40,MATCH($A13,Dataset!$A$1:$A$40,0),MATCH(C$5,Dataset!$A$1:$X$1,0))</f>
        <v>0</v>
      </c>
      <c r="D13" s="10">
        <f>INDEX(Dataset!$A$1:$X$40,MATCH($A13,Dataset!$A$1:$A$40,0),MATCH(D$5,Dataset!$A$1:$X$1,0))</f>
        <v>0</v>
      </c>
      <c r="E13" s="10">
        <f>INDEX(Dataset!$A$1:$X$40,MATCH($A13,Dataset!$A$1:$A$40,0),MATCH(E$5,Dataset!$A$1:$X$1,0))</f>
        <v>0</v>
      </c>
      <c r="F13" s="10">
        <f>INDEX(Dataset!$A$1:$X$40,MATCH($A13,Dataset!$A$1:$A$40,0),MATCH(F$5,Dataset!$A$1:$X$1,0))</f>
        <v>0</v>
      </c>
    </row>
    <row r="14" spans="1:7" ht="15" x14ac:dyDescent="0.25">
      <c r="A14" s="7" t="s">
        <v>16</v>
      </c>
      <c r="B14" s="10">
        <f>VLOOKUP(Task_2!A14,Dataset!$A$1:$X$40,7,FALSE)</f>
        <v>21.9</v>
      </c>
      <c r="C14" s="10">
        <f>INDEX(Dataset!$A$1:$X$40,MATCH($A14,Dataset!$A$1:$A$40,0),MATCH(C$5,Dataset!$A$1:$X$1,0))</f>
        <v>61.5</v>
      </c>
      <c r="D14" s="10">
        <f>INDEX(Dataset!$A$1:$X$40,MATCH($A14,Dataset!$A$1:$A$40,0),MATCH(D$5,Dataset!$A$1:$X$1,0))</f>
        <v>40.1</v>
      </c>
      <c r="E14" s="10">
        <f>INDEX(Dataset!$A$1:$X$40,MATCH($A14,Dataset!$A$1:$A$40,0),MATCH(E$5,Dataset!$A$1:$X$1,0))</f>
        <v>76.599999999999994</v>
      </c>
      <c r="F14" s="10">
        <f>INDEX(Dataset!$A$1:$X$40,MATCH($A14,Dataset!$A$1:$A$40,0),MATCH(F$5,Dataset!$A$1:$X$1,0))</f>
        <v>40.1</v>
      </c>
    </row>
    <row r="15" spans="1:7" ht="15" x14ac:dyDescent="0.25">
      <c r="A15" s="7" t="s">
        <v>18</v>
      </c>
      <c r="B15" s="10">
        <f>VLOOKUP(Task_2!A15,Dataset!$A$1:$X$40,7,FALSE)</f>
        <v>26.8</v>
      </c>
      <c r="C15" s="10">
        <f>INDEX(Dataset!$A$1:$X$40,MATCH($A15,Dataset!$A$1:$A$40,0),MATCH(C$5,Dataset!$A$1:$X$1,0))</f>
        <v>79.599999999999994</v>
      </c>
      <c r="D15" s="10">
        <f>INDEX(Dataset!$A$1:$X$40,MATCH($A15,Dataset!$A$1:$A$40,0),MATCH(D$5,Dataset!$A$1:$X$1,0))</f>
        <v>47.9</v>
      </c>
      <c r="E15" s="10">
        <f>INDEX(Dataset!$A$1:$X$40,MATCH($A15,Dataset!$A$1:$A$40,0),MATCH(E$5,Dataset!$A$1:$X$1,0))</f>
        <v>96.8</v>
      </c>
      <c r="F15" s="10">
        <f>INDEX(Dataset!$A$1:$X$40,MATCH($A15,Dataset!$A$1:$A$40,0),MATCH(F$5,Dataset!$A$1:$X$1,0))</f>
        <v>47.9</v>
      </c>
    </row>
    <row r="16" spans="1:7" ht="15" x14ac:dyDescent="0.25">
      <c r="A16" s="7" t="s">
        <v>20</v>
      </c>
      <c r="B16" s="10">
        <f>VLOOKUP(Task_2!A16,Dataset!$A$1:$X$40,7,FALSE)</f>
        <v>28.5</v>
      </c>
      <c r="C16" s="10">
        <f>INDEX(Dataset!$A$1:$X$40,MATCH($A16,Dataset!$A$1:$A$40,0),MATCH(C$5,Dataset!$A$1:$X$1,0))</f>
        <v>85.4</v>
      </c>
      <c r="D16" s="10">
        <f>INDEX(Dataset!$A$1:$X$40,MATCH($A16,Dataset!$A$1:$A$40,0),MATCH(D$5,Dataset!$A$1:$X$1,0))</f>
        <v>52.3</v>
      </c>
      <c r="E16" s="10">
        <f>INDEX(Dataset!$A$1:$X$40,MATCH($A16,Dataset!$A$1:$A$40,0),MATCH(E$5,Dataset!$A$1:$X$1,0))</f>
        <v>106.1</v>
      </c>
      <c r="F16" s="10">
        <f>INDEX(Dataset!$A$1:$X$40,MATCH($A16,Dataset!$A$1:$A$40,0),MATCH(F$5,Dataset!$A$1:$X$1,0))</f>
        <v>52.3</v>
      </c>
    </row>
    <row r="17" spans="1:6" ht="15" x14ac:dyDescent="0.25">
      <c r="A17" s="7" t="s">
        <v>22</v>
      </c>
      <c r="B17" s="10">
        <f>VLOOKUP(Task_2!A17,Dataset!$A$1:$X$40,7,FALSE)</f>
        <v>30.7</v>
      </c>
      <c r="C17" s="10">
        <f>INDEX(Dataset!$A$1:$X$40,MATCH($A17,Dataset!$A$1:$A$40,0),MATCH(C$5,Dataset!$A$1:$X$1,0))</f>
        <v>92.1</v>
      </c>
      <c r="D17" s="10">
        <f>INDEX(Dataset!$A$1:$X$40,MATCH($A17,Dataset!$A$1:$A$40,0),MATCH(D$5,Dataset!$A$1:$X$1,0))</f>
        <v>57</v>
      </c>
      <c r="E17" s="10">
        <f>INDEX(Dataset!$A$1:$X$40,MATCH($A17,Dataset!$A$1:$A$40,0),MATCH(E$5,Dataset!$A$1:$X$1,0))</f>
        <v>115.1</v>
      </c>
      <c r="F17" s="10">
        <f>INDEX(Dataset!$A$1:$X$40,MATCH($A17,Dataset!$A$1:$A$40,0),MATCH(F$5,Dataset!$A$1:$X$1,0))</f>
        <v>57</v>
      </c>
    </row>
    <row r="18" spans="1:6" ht="15" x14ac:dyDescent="0.25">
      <c r="A18" s="7" t="s">
        <v>23</v>
      </c>
      <c r="B18" s="10">
        <f>VLOOKUP(Task_2!A18,Dataset!$A$1:$X$40,7,FALSE)</f>
        <v>33.799999999999997</v>
      </c>
      <c r="C18" s="10">
        <f>INDEX(Dataset!$A$1:$X$40,MATCH($A18,Dataset!$A$1:$A$40,0),MATCH(C$5,Dataset!$A$1:$X$1,0))</f>
        <v>101.3</v>
      </c>
      <c r="D18" s="10">
        <f>INDEX(Dataset!$A$1:$X$40,MATCH($A18,Dataset!$A$1:$A$40,0),MATCH(D$5,Dataset!$A$1:$X$1,0))</f>
        <v>61.4</v>
      </c>
      <c r="E18" s="10">
        <f>INDEX(Dataset!$A$1:$X$40,MATCH($A18,Dataset!$A$1:$A$40,0),MATCH(E$5,Dataset!$A$1:$X$1,0))</f>
        <v>124.4</v>
      </c>
      <c r="F18" s="10">
        <f>INDEX(Dataset!$A$1:$X$40,MATCH($A18,Dataset!$A$1:$A$40,0),MATCH(F$5,Dataset!$A$1:$X$1,0))</f>
        <v>61.4</v>
      </c>
    </row>
    <row r="19" spans="1:6" ht="15" x14ac:dyDescent="0.25">
      <c r="A19" s="7" t="s">
        <v>24</v>
      </c>
      <c r="B19" s="10">
        <f>VLOOKUP(Task_2!A19,Dataset!$A$1:$X$40,7,FALSE)</f>
        <v>34.700000000000003</v>
      </c>
      <c r="C19" s="10">
        <f>INDEX(Dataset!$A$1:$X$40,MATCH($A19,Dataset!$A$1:$A$40,0),MATCH(C$5,Dataset!$A$1:$X$1,0))</f>
        <v>106.1</v>
      </c>
      <c r="D19" s="10">
        <f>INDEX(Dataset!$A$1:$X$40,MATCH($A19,Dataset!$A$1:$A$40,0),MATCH(D$5,Dataset!$A$1:$X$1,0))</f>
        <v>63.6</v>
      </c>
      <c r="E19" s="10">
        <f>INDEX(Dataset!$A$1:$X$40,MATCH($A19,Dataset!$A$1:$A$40,0),MATCH(E$5,Dataset!$A$1:$X$1,0))</f>
        <v>128.6</v>
      </c>
      <c r="F19" s="10">
        <f>INDEX(Dataset!$A$1:$X$40,MATCH($A19,Dataset!$A$1:$A$40,0),MATCH(F$5,Dataset!$A$1:$X$1,0))</f>
        <v>63.6</v>
      </c>
    </row>
    <row r="20" spans="1:6" ht="15" x14ac:dyDescent="0.25">
      <c r="A20" s="7" t="s">
        <v>28</v>
      </c>
      <c r="B20" s="10">
        <f>VLOOKUP(Task_2!A20,Dataset!$A$1:$X$40,7,FALSE)</f>
        <v>0</v>
      </c>
      <c r="C20" s="10">
        <f>INDEX(Dataset!$A$1:$X$40,MATCH($A20,Dataset!$A$1:$A$40,0),MATCH(C$5,Dataset!$A$1:$X$1,0))</f>
        <v>0</v>
      </c>
      <c r="D20" s="10">
        <f>INDEX(Dataset!$A$1:$X$40,MATCH($A20,Dataset!$A$1:$A$40,0),MATCH(D$5,Dataset!$A$1:$X$1,0))</f>
        <v>0</v>
      </c>
      <c r="E20" s="10">
        <f>INDEX(Dataset!$A$1:$X$40,MATCH($A20,Dataset!$A$1:$A$40,0),MATCH(E$5,Dataset!$A$1:$X$1,0))</f>
        <v>0</v>
      </c>
      <c r="F20" s="10">
        <f>INDEX(Dataset!$A$1:$X$40,MATCH($A20,Dataset!$A$1:$A$40,0),MATCH(F$5,Dataset!$A$1:$X$1,0))</f>
        <v>0</v>
      </c>
    </row>
    <row r="21" spans="1:6" ht="15" x14ac:dyDescent="0.25">
      <c r="A21" s="7" t="s">
        <v>57</v>
      </c>
      <c r="B21" s="10">
        <f>VLOOKUP(Task_2!A21,Dataset!$A$1:$X$40,7,FALSE)</f>
        <v>41.3</v>
      </c>
      <c r="C21" s="10">
        <f>INDEX(Dataset!$A$1:$X$40,MATCH($A21,Dataset!$A$1:$A$40,0),MATCH(C$5,Dataset!$A$1:$X$1,0))</f>
        <v>124.4</v>
      </c>
      <c r="D21" s="10">
        <f>INDEX(Dataset!$A$1:$X$40,MATCH($A21,Dataset!$A$1:$A$40,0),MATCH(D$5,Dataset!$A$1:$X$1,0))</f>
        <v>75</v>
      </c>
      <c r="E21" s="10">
        <f>INDEX(Dataset!$A$1:$X$40,MATCH($A21,Dataset!$A$1:$A$40,0),MATCH(E$5,Dataset!$A$1:$X$1,0))</f>
        <v>151.5</v>
      </c>
      <c r="F21" s="10">
        <f>INDEX(Dataset!$A$1:$X$40,MATCH($A21,Dataset!$A$1:$A$40,0),MATCH(F$5,Dataset!$A$1:$X$1,0))</f>
        <v>75</v>
      </c>
    </row>
    <row r="22" spans="1:6" ht="15" x14ac:dyDescent="0.25">
      <c r="A22" s="7" t="s">
        <v>58</v>
      </c>
      <c r="B22" s="10">
        <f>VLOOKUP(Task_2!A22,Dataset!$A$1:$X$40,7,FALSE)</f>
        <v>-1</v>
      </c>
      <c r="C22" s="10">
        <f>INDEX(Dataset!$A$1:$X$40,MATCH($A22,Dataset!$A$1:$A$40,0),MATCH(C$5,Dataset!$A$1:$X$1,0))</f>
        <v>-1</v>
      </c>
      <c r="D22" s="10">
        <f>INDEX(Dataset!$A$1:$X$40,MATCH($A22,Dataset!$A$1:$A$40,0),MATCH(D$5,Dataset!$A$1:$X$1,0))</f>
        <v>-1</v>
      </c>
      <c r="E22" s="10">
        <f>INDEX(Dataset!$A$1:$X$40,MATCH($A22,Dataset!$A$1:$A$40,0),MATCH(E$5,Dataset!$A$1:$X$1,0))</f>
        <v>-1</v>
      </c>
      <c r="F22" s="10">
        <f>INDEX(Dataset!$A$1:$X$40,MATCH($A22,Dataset!$A$1:$A$40,0),MATCH(F$5,Dataset!$A$1:$X$1,0))</f>
        <v>-1</v>
      </c>
    </row>
    <row r="23" spans="1:6" ht="15" x14ac:dyDescent="0.25">
      <c r="A23" s="7" t="s">
        <v>31</v>
      </c>
      <c r="B23" s="10">
        <f>VLOOKUP(Task_2!A23,Dataset!$A$1:$X$40,7,FALSE)</f>
        <v>45</v>
      </c>
      <c r="C23" s="10">
        <f>INDEX(Dataset!$A$1:$X$40,MATCH($A23,Dataset!$A$1:$A$40,0),MATCH(C$5,Dataset!$A$1:$X$1,0))</f>
        <v>133.4</v>
      </c>
      <c r="D23" s="10">
        <f>INDEX(Dataset!$A$1:$X$40,MATCH($A23,Dataset!$A$1:$A$40,0),MATCH(D$5,Dataset!$A$1:$X$1,0))</f>
        <v>79.400000000000006</v>
      </c>
      <c r="E23" s="10">
        <f>INDEX(Dataset!$A$1:$X$40,MATCH($A23,Dataset!$A$1:$A$40,0),MATCH(E$5,Dataset!$A$1:$X$1,0))</f>
        <v>160.9</v>
      </c>
      <c r="F23" s="10">
        <f>INDEX(Dataset!$A$1:$X$40,MATCH($A23,Dataset!$A$1:$A$40,0),MATCH(F$5,Dataset!$A$1:$X$1,0))</f>
        <v>79.400000000000006</v>
      </c>
    </row>
    <row r="24" spans="1:6" ht="15" x14ac:dyDescent="0.25">
      <c r="A24" s="7" t="s">
        <v>32</v>
      </c>
      <c r="B24" s="10">
        <f>VLOOKUP(Task_2!A24,Dataset!$A$1:$X$40,7,FALSE)</f>
        <v>-1</v>
      </c>
      <c r="C24" s="10">
        <f>INDEX(Dataset!$A$1:$X$40,MATCH($A24,Dataset!$A$1:$A$40,0),MATCH(C$5,Dataset!$A$1:$X$1,0))</f>
        <v>-1</v>
      </c>
      <c r="D24" s="10">
        <f>INDEX(Dataset!$A$1:$X$40,MATCH($A24,Dataset!$A$1:$A$40,0),MATCH(D$5,Dataset!$A$1:$X$1,0))</f>
        <v>-1</v>
      </c>
      <c r="E24" s="10">
        <f>INDEX(Dataset!$A$1:$X$40,MATCH($A24,Dataset!$A$1:$A$40,0),MATCH(E$5,Dataset!$A$1:$X$1,0))</f>
        <v>-1</v>
      </c>
      <c r="F24" s="10">
        <f>INDEX(Dataset!$A$1:$X$40,MATCH($A24,Dataset!$A$1:$A$40,0),MATCH(F$5,Dataset!$A$1:$X$1,0))</f>
        <v>-1</v>
      </c>
    </row>
    <row r="25" spans="1:6" ht="15" x14ac:dyDescent="0.25">
      <c r="A25" s="7" t="s">
        <v>34</v>
      </c>
      <c r="B25" s="10">
        <f>VLOOKUP(Task_2!A25,Dataset!$A$1:$X$40,7,FALSE)</f>
        <v>43.3</v>
      </c>
      <c r="C25" s="10">
        <f>INDEX(Dataset!$A$1:$X$40,MATCH($A25,Dataset!$A$1:$A$40,0),MATCH(C$5,Dataset!$A$1:$X$1,0))</f>
        <v>128.6</v>
      </c>
      <c r="D25" s="10">
        <f>INDEX(Dataset!$A$1:$X$40,MATCH($A25,Dataset!$A$1:$A$40,0),MATCH(D$5,Dataset!$A$1:$X$1,0))</f>
        <v>79.400000000000006</v>
      </c>
      <c r="E25" s="10">
        <f>INDEX(Dataset!$A$1:$X$40,MATCH($A25,Dataset!$A$1:$A$40,0),MATCH(E$5,Dataset!$A$1:$X$1,0))</f>
        <v>160.9</v>
      </c>
      <c r="F25" s="10">
        <f>INDEX(Dataset!$A$1:$X$40,MATCH($A25,Dataset!$A$1:$A$40,0),MATCH(F$5,Dataset!$A$1:$X$1,0))</f>
        <v>79.400000000000006</v>
      </c>
    </row>
    <row r="26" spans="1:6" ht="15" x14ac:dyDescent="0.25">
      <c r="A26" s="7" t="s">
        <v>37</v>
      </c>
      <c r="B26" s="10">
        <f>VLOOKUP(Task_2!A26,Dataset!$A$1:$X$40,7,FALSE)</f>
        <v>49.1</v>
      </c>
      <c r="C26" s="10">
        <f>INDEX(Dataset!$A$1:$X$40,MATCH($A26,Dataset!$A$1:$A$40,0),MATCH(C$5,Dataset!$A$1:$X$1,0))</f>
        <v>146.80000000000001</v>
      </c>
      <c r="D26" s="10">
        <f>INDEX(Dataset!$A$1:$X$40,MATCH($A26,Dataset!$A$1:$A$40,0),MATCH(D$5,Dataset!$A$1:$X$1,0))</f>
        <v>90.9</v>
      </c>
      <c r="E26" s="10">
        <f>INDEX(Dataset!$A$1:$X$40,MATCH($A26,Dataset!$A$1:$A$40,0),MATCH(E$5,Dataset!$A$1:$X$1,0))</f>
        <v>183.5</v>
      </c>
      <c r="F26" s="10">
        <f>INDEX(Dataset!$A$1:$X$40,MATCH($A26,Dataset!$A$1:$A$40,0),MATCH(F$5,Dataset!$A$1:$X$1,0))</f>
        <v>90.9</v>
      </c>
    </row>
    <row r="27" spans="1:6" ht="15" x14ac:dyDescent="0.25">
      <c r="A27" s="7" t="s">
        <v>39</v>
      </c>
      <c r="B27" s="10">
        <f>VLOOKUP(Task_2!A27,Dataset!$A$1:$X$40,7,FALSE)</f>
        <v>51.8</v>
      </c>
      <c r="C27" s="10">
        <f>INDEX(Dataset!$A$1:$X$40,MATCH($A27,Dataset!$A$1:$A$40,0),MATCH(C$5,Dataset!$A$1:$X$1,0))</f>
        <v>156.4</v>
      </c>
      <c r="D27" s="10">
        <f>INDEX(Dataset!$A$1:$X$40,MATCH($A27,Dataset!$A$1:$A$40,0),MATCH(D$5,Dataset!$A$1:$X$1,0))</f>
        <v>93.1</v>
      </c>
      <c r="E27" s="10">
        <f>INDEX(Dataset!$A$1:$X$40,MATCH($A27,Dataset!$A$1:$A$40,0),MATCH(E$5,Dataset!$A$1:$X$1,0))</f>
        <v>188.1</v>
      </c>
      <c r="F27" s="10">
        <f>INDEX(Dataset!$A$1:$X$40,MATCH($A27,Dataset!$A$1:$A$40,0),MATCH(F$5,Dataset!$A$1:$X$1,0))</f>
        <v>93.1</v>
      </c>
    </row>
    <row r="28" spans="1:6" ht="15" x14ac:dyDescent="0.25">
      <c r="A28" s="17" t="s">
        <v>82</v>
      </c>
      <c r="B28" s="29">
        <f>MIN(B6:B27)</f>
        <v>-1</v>
      </c>
      <c r="C28" s="29">
        <f t="shared" ref="C28:F28" si="0">MIN(C6:C27)</f>
        <v>-1</v>
      </c>
      <c r="D28" s="29">
        <f t="shared" si="0"/>
        <v>-1</v>
      </c>
      <c r="E28" s="29">
        <f t="shared" si="0"/>
        <v>-1</v>
      </c>
      <c r="F28" s="29">
        <f t="shared" si="0"/>
        <v>-1</v>
      </c>
    </row>
    <row r="29" spans="1:6" ht="15" x14ac:dyDescent="0.25">
      <c r="A29" s="17" t="s">
        <v>83</v>
      </c>
      <c r="B29" s="29">
        <f>MAX(B6:B27)</f>
        <v>51.8</v>
      </c>
      <c r="C29" s="29">
        <f t="shared" ref="C29:F29" si="1">MAX(C6:C27)</f>
        <v>156.4</v>
      </c>
      <c r="D29" s="29">
        <f t="shared" si="1"/>
        <v>93.1</v>
      </c>
      <c r="E29" s="29">
        <f t="shared" si="1"/>
        <v>188.1</v>
      </c>
      <c r="F29" s="29">
        <f t="shared" si="1"/>
        <v>93.1</v>
      </c>
    </row>
    <row r="30" spans="1:6" ht="15" x14ac:dyDescent="0.25">
      <c r="A30" s="17" t="s">
        <v>84</v>
      </c>
      <c r="B30" s="45">
        <f>AVERAGE(B6:B27)</f>
        <v>20.827272727272728</v>
      </c>
      <c r="C30" s="45">
        <f t="shared" ref="C30:F30" si="2">AVERAGE(C6:C27)</f>
        <v>62.377272727272725</v>
      </c>
      <c r="D30" s="45">
        <f t="shared" si="2"/>
        <v>37.800000000000004</v>
      </c>
      <c r="E30" s="45">
        <f t="shared" si="2"/>
        <v>76.418181818181822</v>
      </c>
      <c r="F30" s="45">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N54"/>
  <sheetViews>
    <sheetView zoomScaleNormal="100" workbookViewId="0">
      <selection activeCell="H12" sqref="H12"/>
    </sheetView>
  </sheetViews>
  <sheetFormatPr defaultColWidth="11" defaultRowHeight="15" x14ac:dyDescent="0.25"/>
  <cols>
    <col min="1" max="1" width="39.83203125" style="1" bestFit="1" customWidth="1"/>
    <col min="2" max="2" width="19.1640625" style="1" customWidth="1"/>
    <col min="3" max="4" width="11" style="1"/>
    <col min="5" max="5" width="11.1640625" style="1" customWidth="1"/>
    <col min="6" max="7" width="11" style="1"/>
    <col min="8" max="8" width="36.1640625" style="1" customWidth="1"/>
    <col min="9" max="16384" width="11" style="1"/>
  </cols>
  <sheetData>
    <row r="1" spans="1:14" s="39" customFormat="1" ht="21" x14ac:dyDescent="0.35">
      <c r="A1" s="40" t="s">
        <v>56</v>
      </c>
      <c r="B1" s="39" t="s">
        <v>174</v>
      </c>
    </row>
    <row r="2" spans="1:14" customFormat="1" ht="12.75" x14ac:dyDescent="0.2"/>
    <row r="3" spans="1:14" s="2" customFormat="1" x14ac:dyDescent="0.25">
      <c r="B3" s="1"/>
    </row>
    <row r="4" spans="1:14" s="2" customFormat="1" x14ac:dyDescent="0.25">
      <c r="B4" s="1" t="s">
        <v>151</v>
      </c>
    </row>
    <row r="5" spans="1:14" ht="18.75" x14ac:dyDescent="0.3">
      <c r="A5" s="41" t="s">
        <v>53</v>
      </c>
      <c r="B5" s="47" t="s">
        <v>178</v>
      </c>
      <c r="C5" s="47"/>
      <c r="D5" s="47"/>
      <c r="E5" s="47"/>
      <c r="F5" s="47"/>
      <c r="G5" s="47"/>
      <c r="H5" s="47"/>
      <c r="I5" s="47"/>
      <c r="J5" s="47"/>
      <c r="K5" s="47"/>
      <c r="L5" s="47"/>
      <c r="M5" s="47"/>
      <c r="N5" s="47"/>
    </row>
    <row r="6" spans="1:14" ht="18.75" x14ac:dyDescent="0.3">
      <c r="A6" s="41" t="s">
        <v>153</v>
      </c>
      <c r="B6" s="48" t="s">
        <v>179</v>
      </c>
      <c r="C6" s="49"/>
      <c r="D6" s="49"/>
      <c r="E6" s="49"/>
      <c r="F6" s="49"/>
      <c r="G6" s="49"/>
      <c r="H6" s="49"/>
      <c r="I6" s="49"/>
      <c r="J6" s="49"/>
      <c r="K6" s="49"/>
      <c r="L6" s="49"/>
      <c r="M6" s="49"/>
      <c r="N6" s="49"/>
    </row>
    <row r="7" spans="1:14" ht="18.75" x14ac:dyDescent="0.3">
      <c r="A7" s="41"/>
      <c r="B7" s="38"/>
    </row>
    <row r="9" spans="1:14" ht="23.25" x14ac:dyDescent="0.35">
      <c r="A9" s="16" t="s">
        <v>165</v>
      </c>
      <c r="I9" s="2"/>
      <c r="J9" s="2"/>
    </row>
    <row r="10" spans="1:14" x14ac:dyDescent="0.25">
      <c r="A10" s="31" t="s">
        <v>102</v>
      </c>
      <c r="B10" s="15" t="s">
        <v>49</v>
      </c>
      <c r="C10" s="15" t="s">
        <v>50</v>
      </c>
      <c r="D10" s="15" t="s">
        <v>51</v>
      </c>
      <c r="E10" s="15" t="s">
        <v>52</v>
      </c>
      <c r="F10" s="15" t="s">
        <v>54</v>
      </c>
      <c r="I10" s="2"/>
      <c r="J10" s="2"/>
    </row>
    <row r="11" spans="1:14" x14ac:dyDescent="0.25">
      <c r="A11" s="8" t="s">
        <v>121</v>
      </c>
      <c r="B11" s="11">
        <v>20000</v>
      </c>
      <c r="C11" s="11" t="s">
        <v>5</v>
      </c>
      <c r="D11" s="11">
        <v>0</v>
      </c>
      <c r="E11" s="9" t="s">
        <v>6</v>
      </c>
      <c r="F11" s="9">
        <v>24</v>
      </c>
      <c r="I11" s="2"/>
      <c r="J11" s="2"/>
    </row>
    <row r="14" spans="1:14" ht="23.25" x14ac:dyDescent="0.35">
      <c r="A14" s="16" t="s">
        <v>162</v>
      </c>
    </row>
    <row r="15" spans="1:14" x14ac:dyDescent="0.25">
      <c r="A15" s="12" t="s">
        <v>103</v>
      </c>
      <c r="B15" s="15" t="s">
        <v>49</v>
      </c>
      <c r="C15" s="13" t="s">
        <v>50</v>
      </c>
      <c r="D15" s="15" t="s">
        <v>51</v>
      </c>
      <c r="E15" s="13" t="s">
        <v>52</v>
      </c>
      <c r="F15" s="15" t="s">
        <v>54</v>
      </c>
    </row>
    <row r="16" spans="1:14" x14ac:dyDescent="0.25">
      <c r="A16" s="7" t="s">
        <v>121</v>
      </c>
      <c r="B16" s="46" t="s">
        <v>177</v>
      </c>
      <c r="D16" s="10"/>
      <c r="F16" s="10"/>
    </row>
    <row r="17" spans="1:8" x14ac:dyDescent="0.25">
      <c r="A17" s="7" t="s">
        <v>122</v>
      </c>
      <c r="B17" s="10" t="str">
        <f>LEFT(A17, FIND("-", A17) - 1)</f>
        <v>20002</v>
      </c>
      <c r="C17" s="1" t="str">
        <f>MID(A17, FIND("-", A17) + 1, FIND("-", MID(A17, FIND("-", A17) + 1, LEN(A17))) - 1)</f>
        <v>Monday</v>
      </c>
      <c r="D17" s="10" t="str">
        <f>MID(A17, FIND("-", A17, FIND("-", A17) + 1) + 1, FIND("-", A17, FIND("-", A17, FIND("-", A17) + 1) + 1) - FIND("-", A17, FIND("-", A17) + 1) - 1)</f>
        <v>0</v>
      </c>
      <c r="E17" s="1" t="str">
        <f>TRIM(MID(SUBSTITUTE("-" &amp; A17, "-", REPT(" ", LEN(A17))), SEARCH(" Sunday", SUBSTITUTE("-" &amp; A17, "-", REPT(" ", LEN(A17)))) + 1, LEN(" Sunday")))</f>
        <v>Sunday</v>
      </c>
      <c r="F17" s="10" t="str">
        <f>TRIM(RIGHT(SUBSTITUTE(A17, "-", REPT(" ", LEN(A17))), LEN(A17)))</f>
        <v>24</v>
      </c>
      <c r="H17" s="7"/>
    </row>
    <row r="18" spans="1:8" x14ac:dyDescent="0.25">
      <c r="A18" s="7" t="s">
        <v>123</v>
      </c>
      <c r="B18" s="10" t="str">
        <f t="shared" ref="B18:B54" si="0">LEFT(A18, FIND("-", A18) - 1)</f>
        <v>20004</v>
      </c>
      <c r="C18" s="1" t="str">
        <f t="shared" ref="C18:C54" si="1">MID(A18, FIND("-", A18) + 1, FIND("-", MID(A18, FIND("-", A18) + 1, LEN(A18))) - 1)</f>
        <v>Monday</v>
      </c>
      <c r="D18" s="10" t="str">
        <f t="shared" ref="D18:D55" si="2">MID(A18, FIND("-", A18, FIND("-", A18) + 1) + 1, FIND("-", A18, FIND("-", A18, FIND("-", A18) + 1) + 1) - FIND("-", A18, FIND("-", A18) + 1) - 1)</f>
        <v>0</v>
      </c>
      <c r="E18" s="1" t="str">
        <f t="shared" ref="E18:E54" si="3">TRIM(MID(SUBSTITUTE("-" &amp; A18, "-", REPT(" ", LEN(A18))), SEARCH(" Sunday", SUBSTITUTE("-" &amp; A18, "-", REPT(" ", LEN(A18)))) + 1, LEN(" Sunday")))</f>
        <v>Sunday</v>
      </c>
      <c r="F18" s="10" t="str">
        <f t="shared" ref="F18:F54" si="4">TRIM(RIGHT(SUBSTITUTE(A18, "-", REPT(" ", LEN(A18))), LEN(A18)))</f>
        <v>24</v>
      </c>
    </row>
    <row r="19" spans="1:8" x14ac:dyDescent="0.25">
      <c r="A19" s="7" t="s">
        <v>124</v>
      </c>
      <c r="B19" s="10" t="str">
        <f t="shared" si="0"/>
        <v>20006</v>
      </c>
      <c r="C19" s="1" t="str">
        <f t="shared" si="1"/>
        <v>Monday</v>
      </c>
      <c r="D19" s="10" t="str">
        <f t="shared" si="2"/>
        <v>0</v>
      </c>
      <c r="E19" s="1" t="str">
        <f t="shared" si="3"/>
        <v>Sunday</v>
      </c>
      <c r="F19" s="10" t="str">
        <f t="shared" si="4"/>
        <v>24</v>
      </c>
    </row>
    <row r="20" spans="1:8" x14ac:dyDescent="0.25">
      <c r="A20" s="7" t="s">
        <v>125</v>
      </c>
      <c r="B20" s="10" t="str">
        <f t="shared" si="0"/>
        <v>20008</v>
      </c>
      <c r="C20" s="1" t="str">
        <f t="shared" si="1"/>
        <v>Monday</v>
      </c>
      <c r="D20" s="10" t="str">
        <f t="shared" si="2"/>
        <v>0</v>
      </c>
      <c r="E20" s="1" t="str">
        <f t="shared" si="3"/>
        <v>Sunday</v>
      </c>
      <c r="F20" s="10" t="str">
        <f t="shared" si="4"/>
        <v>24</v>
      </c>
    </row>
    <row r="21" spans="1:8" x14ac:dyDescent="0.25">
      <c r="A21" s="7" t="s">
        <v>126</v>
      </c>
      <c r="B21" s="10" t="str">
        <f t="shared" si="0"/>
        <v>20010</v>
      </c>
      <c r="C21" s="1" t="str">
        <f t="shared" si="1"/>
        <v>Monday</v>
      </c>
      <c r="D21" s="10" t="str">
        <f t="shared" si="2"/>
        <v>0</v>
      </c>
      <c r="E21" s="1" t="str">
        <f t="shared" si="3"/>
        <v>Sunday</v>
      </c>
      <c r="F21" s="10" t="str">
        <f t="shared" si="4"/>
        <v>24</v>
      </c>
    </row>
    <row r="22" spans="1:8" x14ac:dyDescent="0.25">
      <c r="A22" s="7" t="s">
        <v>127</v>
      </c>
      <c r="B22" s="10" t="str">
        <f t="shared" si="0"/>
        <v>20012</v>
      </c>
      <c r="C22" s="1" t="str">
        <f t="shared" si="1"/>
        <v>Monday</v>
      </c>
      <c r="D22" s="10" t="str">
        <f t="shared" si="2"/>
        <v>0</v>
      </c>
      <c r="E22" s="1" t="str">
        <f t="shared" si="3"/>
        <v>Sunday</v>
      </c>
      <c r="F22" s="10" t="str">
        <f t="shared" si="4"/>
        <v>24</v>
      </c>
    </row>
    <row r="23" spans="1:8" x14ac:dyDescent="0.25">
      <c r="A23" s="7" t="s">
        <v>128</v>
      </c>
      <c r="B23" s="10" t="str">
        <f t="shared" si="0"/>
        <v>20014</v>
      </c>
      <c r="C23" s="1" t="str">
        <f t="shared" si="1"/>
        <v>Monday</v>
      </c>
      <c r="D23" s="10" t="str">
        <f t="shared" si="2"/>
        <v>0</v>
      </c>
      <c r="E23" s="1" t="str">
        <f t="shared" si="3"/>
        <v>Sunday</v>
      </c>
      <c r="F23" s="10" t="str">
        <f t="shared" si="4"/>
        <v>24</v>
      </c>
    </row>
    <row r="24" spans="1:8" x14ac:dyDescent="0.25">
      <c r="A24" s="7" t="s">
        <v>129</v>
      </c>
      <c r="B24" s="10" t="str">
        <f t="shared" si="0"/>
        <v>20016</v>
      </c>
      <c r="C24" s="1" t="str">
        <f t="shared" si="1"/>
        <v>Monday</v>
      </c>
      <c r="D24" s="10" t="str">
        <f t="shared" si="2"/>
        <v>0</v>
      </c>
      <c r="E24" s="1" t="str">
        <f t="shared" si="3"/>
        <v>Sunday</v>
      </c>
      <c r="F24" s="10" t="str">
        <f t="shared" si="4"/>
        <v>24</v>
      </c>
    </row>
    <row r="25" spans="1:8" x14ac:dyDescent="0.25">
      <c r="A25" s="7" t="s">
        <v>130</v>
      </c>
      <c r="B25" s="10" t="str">
        <f t="shared" si="0"/>
        <v>20018</v>
      </c>
      <c r="C25" s="1" t="str">
        <f t="shared" si="1"/>
        <v>Monday</v>
      </c>
      <c r="D25" s="10" t="str">
        <f t="shared" si="2"/>
        <v>0</v>
      </c>
      <c r="E25" s="1" t="str">
        <f t="shared" si="3"/>
        <v>Sunday</v>
      </c>
      <c r="F25" s="10" t="str">
        <f t="shared" si="4"/>
        <v>24</v>
      </c>
    </row>
    <row r="26" spans="1:8" x14ac:dyDescent="0.25">
      <c r="A26" s="7" t="s">
        <v>131</v>
      </c>
      <c r="B26" s="10" t="str">
        <f t="shared" si="0"/>
        <v>20020</v>
      </c>
      <c r="C26" s="1" t="str">
        <f t="shared" si="1"/>
        <v>Monday</v>
      </c>
      <c r="D26" s="10" t="str">
        <f t="shared" si="2"/>
        <v>0</v>
      </c>
      <c r="E26" s="1" t="str">
        <f t="shared" si="3"/>
        <v>Sunday</v>
      </c>
      <c r="F26" s="10" t="str">
        <f t="shared" si="4"/>
        <v>24</v>
      </c>
    </row>
    <row r="27" spans="1:8" x14ac:dyDescent="0.25">
      <c r="A27" s="7" t="s">
        <v>132</v>
      </c>
      <c r="B27" s="10" t="str">
        <f t="shared" si="0"/>
        <v>20022</v>
      </c>
      <c r="C27" s="1" t="str">
        <f t="shared" si="1"/>
        <v>Monday</v>
      </c>
      <c r="D27" s="10" t="str">
        <f t="shared" si="2"/>
        <v>0</v>
      </c>
      <c r="E27" s="1" t="str">
        <f t="shared" si="3"/>
        <v>Sunday</v>
      </c>
      <c r="F27" s="10" t="str">
        <f t="shared" si="4"/>
        <v>24</v>
      </c>
    </row>
    <row r="28" spans="1:8" x14ac:dyDescent="0.25">
      <c r="A28" s="7" t="s">
        <v>133</v>
      </c>
      <c r="B28" s="10" t="str">
        <f t="shared" si="0"/>
        <v>20024</v>
      </c>
      <c r="C28" s="1" t="str">
        <f t="shared" si="1"/>
        <v>Monday</v>
      </c>
      <c r="D28" s="10" t="str">
        <f t="shared" si="2"/>
        <v>0</v>
      </c>
      <c r="E28" s="1" t="str">
        <f t="shared" si="3"/>
        <v>Sunday</v>
      </c>
      <c r="F28" s="10" t="str">
        <f t="shared" si="4"/>
        <v>24</v>
      </c>
    </row>
    <row r="29" spans="1:8" x14ac:dyDescent="0.25">
      <c r="A29" s="7" t="s">
        <v>134</v>
      </c>
      <c r="B29" s="10" t="str">
        <f t="shared" si="0"/>
        <v>20026</v>
      </c>
      <c r="C29" s="1" t="str">
        <f t="shared" si="1"/>
        <v>Monday</v>
      </c>
      <c r="D29" s="10" t="str">
        <f t="shared" si="2"/>
        <v>0</v>
      </c>
      <c r="E29" s="1" t="str">
        <f t="shared" si="3"/>
        <v>Sunday</v>
      </c>
      <c r="F29" s="10" t="str">
        <f t="shared" si="4"/>
        <v>24</v>
      </c>
    </row>
    <row r="30" spans="1:8" x14ac:dyDescent="0.25">
      <c r="A30" s="7" t="s">
        <v>135</v>
      </c>
      <c r="B30" s="10" t="str">
        <f t="shared" si="0"/>
        <v>20028</v>
      </c>
      <c r="C30" s="1" t="str">
        <f t="shared" si="1"/>
        <v>Monday</v>
      </c>
      <c r="D30" s="10" t="str">
        <f t="shared" si="2"/>
        <v>0</v>
      </c>
      <c r="E30" s="1" t="str">
        <f t="shared" si="3"/>
        <v>Sunday</v>
      </c>
      <c r="F30" s="10" t="str">
        <f t="shared" si="4"/>
        <v>24</v>
      </c>
    </row>
    <row r="31" spans="1:8" x14ac:dyDescent="0.25">
      <c r="A31" s="7" t="s">
        <v>136</v>
      </c>
      <c r="B31" s="10" t="str">
        <f t="shared" si="0"/>
        <v>20030</v>
      </c>
      <c r="C31" s="1" t="str">
        <f t="shared" si="1"/>
        <v>Monday</v>
      </c>
      <c r="D31" s="10" t="str">
        <f t="shared" si="2"/>
        <v>0</v>
      </c>
      <c r="E31" s="1" t="str">
        <f t="shared" si="3"/>
        <v>Sunday</v>
      </c>
      <c r="F31" s="10" t="str">
        <f t="shared" si="4"/>
        <v>24</v>
      </c>
    </row>
    <row r="32" spans="1:8" x14ac:dyDescent="0.25">
      <c r="A32" s="7" t="s">
        <v>137</v>
      </c>
      <c r="B32" s="10" t="str">
        <f t="shared" si="0"/>
        <v>20032</v>
      </c>
      <c r="C32" s="1" t="str">
        <f t="shared" si="1"/>
        <v>Monday</v>
      </c>
      <c r="D32" s="10" t="str">
        <f>MID(A32, FIND("-", A32, FIND("-", A32) + 1) + 1, FIND("-", A32, FIND("-", A32, FIND("-", A32) + 1) + 1) - FIND("-", A32, FIND("-", A32) + 1) - 1)</f>
        <v>0</v>
      </c>
      <c r="E32" s="1" t="str">
        <f t="shared" si="3"/>
        <v>Sunday</v>
      </c>
      <c r="F32" s="10" t="str">
        <f t="shared" si="4"/>
        <v>24</v>
      </c>
    </row>
    <row r="33" spans="1:6" x14ac:dyDescent="0.25">
      <c r="A33" s="7" t="s">
        <v>138</v>
      </c>
      <c r="B33" s="10" t="str">
        <f t="shared" si="0"/>
        <v>20034</v>
      </c>
      <c r="C33" s="1" t="str">
        <f t="shared" si="1"/>
        <v>Monday</v>
      </c>
      <c r="D33" s="10" t="str">
        <f t="shared" si="2"/>
        <v>0</v>
      </c>
      <c r="E33" s="1" t="str">
        <f t="shared" si="3"/>
        <v>Sunday</v>
      </c>
      <c r="F33" s="10" t="str">
        <f t="shared" si="4"/>
        <v>24</v>
      </c>
    </row>
    <row r="34" spans="1:6" x14ac:dyDescent="0.25">
      <c r="A34" s="7" t="s">
        <v>139</v>
      </c>
      <c r="B34" s="10" t="str">
        <f t="shared" si="0"/>
        <v>20036</v>
      </c>
      <c r="C34" s="1" t="str">
        <f t="shared" si="1"/>
        <v>Monday</v>
      </c>
      <c r="D34" s="10" t="str">
        <f t="shared" si="2"/>
        <v>0</v>
      </c>
      <c r="E34" s="1" t="str">
        <f t="shared" si="3"/>
        <v>Sunday</v>
      </c>
      <c r="F34" s="10" t="str">
        <f t="shared" si="4"/>
        <v>24</v>
      </c>
    </row>
    <row r="35" spans="1:6" x14ac:dyDescent="0.25">
      <c r="A35" s="7" t="s">
        <v>140</v>
      </c>
      <c r="B35" s="10" t="str">
        <f t="shared" si="0"/>
        <v>20038</v>
      </c>
      <c r="C35" s="1" t="str">
        <f t="shared" si="1"/>
        <v>Monday</v>
      </c>
      <c r="D35" s="10" t="str">
        <f t="shared" si="2"/>
        <v>0</v>
      </c>
      <c r="E35" s="1" t="str">
        <f t="shared" si="3"/>
        <v>Sunday</v>
      </c>
      <c r="F35" s="10" t="str">
        <f t="shared" si="4"/>
        <v>24</v>
      </c>
    </row>
    <row r="36" spans="1:6" x14ac:dyDescent="0.25">
      <c r="A36" s="7" t="s">
        <v>141</v>
      </c>
      <c r="B36" s="10" t="str">
        <f t="shared" si="0"/>
        <v>20040</v>
      </c>
      <c r="C36" s="1" t="str">
        <f t="shared" si="1"/>
        <v>Monday</v>
      </c>
      <c r="D36" s="10" t="str">
        <f t="shared" si="2"/>
        <v>0</v>
      </c>
      <c r="E36" s="1" t="str">
        <f t="shared" si="3"/>
        <v>Sunday</v>
      </c>
      <c r="F36" s="10" t="str">
        <f t="shared" si="4"/>
        <v>24</v>
      </c>
    </row>
    <row r="37" spans="1:6" x14ac:dyDescent="0.25">
      <c r="A37" s="7" t="s">
        <v>142</v>
      </c>
      <c r="B37" s="10" t="str">
        <f t="shared" si="0"/>
        <v>20042</v>
      </c>
      <c r="C37" s="1" t="str">
        <f t="shared" si="1"/>
        <v>Monday</v>
      </c>
      <c r="D37" s="10" t="str">
        <f t="shared" si="2"/>
        <v>0</v>
      </c>
      <c r="E37" s="1" t="str">
        <f t="shared" si="3"/>
        <v>Sunday</v>
      </c>
      <c r="F37" s="10" t="str">
        <f t="shared" si="4"/>
        <v>24</v>
      </c>
    </row>
    <row r="38" spans="1:6" x14ac:dyDescent="0.25">
      <c r="A38" s="7" t="s">
        <v>143</v>
      </c>
      <c r="B38" s="10" t="str">
        <f t="shared" si="0"/>
        <v>20044</v>
      </c>
      <c r="C38" s="1" t="str">
        <f t="shared" si="1"/>
        <v>Monday</v>
      </c>
      <c r="D38" s="10" t="str">
        <f t="shared" si="2"/>
        <v>0</v>
      </c>
      <c r="E38" s="1" t="str">
        <f t="shared" si="3"/>
        <v>Sunday</v>
      </c>
      <c r="F38" s="10" t="str">
        <f t="shared" si="4"/>
        <v>24</v>
      </c>
    </row>
    <row r="39" spans="1:6" x14ac:dyDescent="0.25">
      <c r="A39" s="7" t="s">
        <v>144</v>
      </c>
      <c r="B39" s="10" t="str">
        <f t="shared" si="0"/>
        <v>20046</v>
      </c>
      <c r="C39" s="1" t="str">
        <f t="shared" si="1"/>
        <v>Monday</v>
      </c>
      <c r="D39" s="10" t="str">
        <f t="shared" si="2"/>
        <v>0</v>
      </c>
      <c r="E39" s="1" t="str">
        <f t="shared" si="3"/>
        <v>Sunday</v>
      </c>
      <c r="F39" s="10" t="str">
        <f t="shared" si="4"/>
        <v>24</v>
      </c>
    </row>
    <row r="40" spans="1:6" x14ac:dyDescent="0.25">
      <c r="A40" s="7" t="s">
        <v>145</v>
      </c>
      <c r="B40" s="10" t="str">
        <f t="shared" si="0"/>
        <v>20048</v>
      </c>
      <c r="C40" s="1" t="str">
        <f t="shared" si="1"/>
        <v>Monday</v>
      </c>
      <c r="D40" s="10" t="str">
        <f t="shared" si="2"/>
        <v>0</v>
      </c>
      <c r="E40" s="1" t="str">
        <f t="shared" si="3"/>
        <v>Sunday</v>
      </c>
      <c r="F40" s="10" t="str">
        <f t="shared" si="4"/>
        <v>24</v>
      </c>
    </row>
    <row r="41" spans="1:6" x14ac:dyDescent="0.25">
      <c r="A41" s="7" t="s">
        <v>146</v>
      </c>
      <c r="B41" s="10" t="str">
        <f t="shared" si="0"/>
        <v>20050</v>
      </c>
      <c r="C41" s="1" t="str">
        <f t="shared" si="1"/>
        <v>Monday</v>
      </c>
      <c r="D41" s="10" t="str">
        <f t="shared" si="2"/>
        <v>0</v>
      </c>
      <c r="E41" s="1" t="str">
        <f t="shared" si="3"/>
        <v>Sunday</v>
      </c>
      <c r="F41" s="10" t="str">
        <f t="shared" si="4"/>
        <v>24</v>
      </c>
    </row>
    <row r="42" spans="1:6" x14ac:dyDescent="0.25">
      <c r="A42" s="7" t="s">
        <v>147</v>
      </c>
      <c r="B42" s="10" t="str">
        <f t="shared" si="0"/>
        <v>20052</v>
      </c>
      <c r="C42" s="1" t="str">
        <f t="shared" si="1"/>
        <v>Monday</v>
      </c>
      <c r="D42" s="10" t="str">
        <f t="shared" si="2"/>
        <v>0</v>
      </c>
      <c r="E42" s="1" t="str">
        <f t="shared" si="3"/>
        <v>Sunday</v>
      </c>
      <c r="F42" s="10" t="str">
        <f t="shared" si="4"/>
        <v>24</v>
      </c>
    </row>
    <row r="43" spans="1:6" x14ac:dyDescent="0.25">
      <c r="A43" s="7" t="s">
        <v>148</v>
      </c>
      <c r="B43" s="10" t="str">
        <f t="shared" si="0"/>
        <v>20054</v>
      </c>
      <c r="C43" s="1" t="str">
        <f t="shared" si="1"/>
        <v>Monday</v>
      </c>
      <c r="D43" s="10" t="str">
        <f t="shared" si="2"/>
        <v>0</v>
      </c>
      <c r="E43" s="1" t="str">
        <f t="shared" si="3"/>
        <v>Sunday</v>
      </c>
      <c r="F43" s="10" t="str">
        <f t="shared" si="4"/>
        <v>24</v>
      </c>
    </row>
    <row r="44" spans="1:6" x14ac:dyDescent="0.25">
      <c r="A44" s="7" t="s">
        <v>149</v>
      </c>
      <c r="B44" s="10" t="str">
        <f t="shared" si="0"/>
        <v>20058</v>
      </c>
      <c r="C44" s="1" t="str">
        <f t="shared" si="1"/>
        <v>Monday</v>
      </c>
      <c r="D44" s="10" t="str">
        <f t="shared" si="2"/>
        <v>0</v>
      </c>
      <c r="E44" s="1" t="str">
        <f t="shared" si="3"/>
        <v>Sunday</v>
      </c>
      <c r="F44" s="10" t="str">
        <f t="shared" si="4"/>
        <v>24</v>
      </c>
    </row>
    <row r="45" spans="1:6" x14ac:dyDescent="0.25">
      <c r="A45" s="7" t="s">
        <v>150</v>
      </c>
      <c r="B45" s="10" t="str">
        <f t="shared" si="0"/>
        <v>20060</v>
      </c>
      <c r="C45" s="1" t="str">
        <f t="shared" si="1"/>
        <v>Monday</v>
      </c>
      <c r="D45" s="10" t="str">
        <f t="shared" si="2"/>
        <v>0</v>
      </c>
      <c r="E45" s="1" t="str">
        <f t="shared" si="3"/>
        <v>Sunday</v>
      </c>
      <c r="F45" s="10" t="str">
        <f t="shared" si="4"/>
        <v>24</v>
      </c>
    </row>
    <row r="46" spans="1:6" x14ac:dyDescent="0.25">
      <c r="A46" s="7" t="s">
        <v>112</v>
      </c>
      <c r="B46" s="10" t="str">
        <f t="shared" si="0"/>
        <v>21000</v>
      </c>
      <c r="C46" s="1" t="str">
        <f t="shared" si="1"/>
        <v>Monday</v>
      </c>
      <c r="D46" s="10" t="str">
        <f>MID(A46, FIND("-", A46, FIND("-", A46) + 1) + 1, FIND("-", A46, FIND("-", A46, FIND("-", A46) + 1) + 1) - FIND("-", A46, FIND("-", A46) + 1) - 1)</f>
        <v>0</v>
      </c>
      <c r="E46" s="1" t="str">
        <f t="shared" si="3"/>
        <v>Sunday</v>
      </c>
      <c r="F46" s="10" t="str">
        <f t="shared" si="4"/>
        <v>24</v>
      </c>
    </row>
    <row r="47" spans="1:6" x14ac:dyDescent="0.25">
      <c r="A47" s="7" t="s">
        <v>113</v>
      </c>
      <c r="B47" s="10" t="str">
        <f t="shared" si="0"/>
        <v>21002</v>
      </c>
      <c r="C47" s="1" t="str">
        <f t="shared" si="1"/>
        <v>Monday</v>
      </c>
      <c r="D47" s="10" t="str">
        <f t="shared" si="2"/>
        <v>0</v>
      </c>
      <c r="E47" s="1" t="str">
        <f t="shared" si="3"/>
        <v>Sunday</v>
      </c>
      <c r="F47" s="10" t="str">
        <f t="shared" si="4"/>
        <v>24</v>
      </c>
    </row>
    <row r="48" spans="1:6" x14ac:dyDescent="0.25">
      <c r="A48" s="7" t="s">
        <v>114</v>
      </c>
      <c r="B48" s="10" t="str">
        <f t="shared" si="0"/>
        <v>21004</v>
      </c>
      <c r="C48" s="1" t="str">
        <f t="shared" si="1"/>
        <v>Monday</v>
      </c>
      <c r="D48" s="10" t="str">
        <f t="shared" si="2"/>
        <v>0</v>
      </c>
      <c r="E48" s="1" t="str">
        <f t="shared" si="3"/>
        <v>Sunday</v>
      </c>
      <c r="F48" s="10" t="str">
        <f t="shared" si="4"/>
        <v>24</v>
      </c>
    </row>
    <row r="49" spans="1:6" x14ac:dyDescent="0.25">
      <c r="A49" s="7" t="s">
        <v>115</v>
      </c>
      <c r="B49" s="10" t="str">
        <f t="shared" si="0"/>
        <v>21006</v>
      </c>
      <c r="C49" s="1" t="str">
        <f t="shared" si="1"/>
        <v>Monday</v>
      </c>
      <c r="D49" s="10" t="str">
        <f t="shared" si="2"/>
        <v>0</v>
      </c>
      <c r="E49" s="1" t="str">
        <f t="shared" si="3"/>
        <v>Sunday</v>
      </c>
      <c r="F49" s="10" t="str">
        <f t="shared" si="4"/>
        <v>24</v>
      </c>
    </row>
    <row r="50" spans="1:6" x14ac:dyDescent="0.25">
      <c r="A50" s="7" t="s">
        <v>116</v>
      </c>
      <c r="B50" s="10" t="str">
        <f t="shared" si="0"/>
        <v>21008</v>
      </c>
      <c r="C50" s="1" t="str">
        <f t="shared" si="1"/>
        <v>Monday</v>
      </c>
      <c r="D50" s="10" t="str">
        <f t="shared" si="2"/>
        <v>0</v>
      </c>
      <c r="E50" s="1" t="str">
        <f t="shared" si="3"/>
        <v>Sunday</v>
      </c>
      <c r="F50" s="10" t="str">
        <f t="shared" si="4"/>
        <v>24</v>
      </c>
    </row>
    <row r="51" spans="1:6" x14ac:dyDescent="0.25">
      <c r="A51" s="7" t="s">
        <v>117</v>
      </c>
      <c r="B51" s="10" t="str">
        <f t="shared" si="0"/>
        <v>21010</v>
      </c>
      <c r="C51" s="1" t="str">
        <f t="shared" si="1"/>
        <v>Monday</v>
      </c>
      <c r="D51" s="10" t="str">
        <f t="shared" si="2"/>
        <v>0</v>
      </c>
      <c r="E51" s="1" t="str">
        <f t="shared" si="3"/>
        <v>Sunday</v>
      </c>
      <c r="F51" s="10" t="str">
        <f t="shared" si="4"/>
        <v>24</v>
      </c>
    </row>
    <row r="52" spans="1:6" x14ac:dyDescent="0.25">
      <c r="A52" s="7" t="s">
        <v>118</v>
      </c>
      <c r="B52" s="10" t="str">
        <f t="shared" si="0"/>
        <v>21012</v>
      </c>
      <c r="C52" s="1" t="str">
        <f t="shared" si="1"/>
        <v>Monday</v>
      </c>
      <c r="D52" s="10" t="str">
        <f t="shared" si="2"/>
        <v>0</v>
      </c>
      <c r="E52" s="1" t="str">
        <f t="shared" si="3"/>
        <v>Sunday</v>
      </c>
      <c r="F52" s="10" t="str">
        <f t="shared" si="4"/>
        <v>24</v>
      </c>
    </row>
    <row r="53" spans="1:6" x14ac:dyDescent="0.25">
      <c r="A53" s="7" t="s">
        <v>119</v>
      </c>
      <c r="B53" s="10" t="str">
        <f t="shared" si="0"/>
        <v>21014</v>
      </c>
      <c r="C53" s="1" t="str">
        <f t="shared" si="1"/>
        <v>Monday</v>
      </c>
      <c r="D53" s="10" t="str">
        <f t="shared" si="2"/>
        <v>0</v>
      </c>
      <c r="E53" s="1" t="str">
        <f t="shared" si="3"/>
        <v>Sunday</v>
      </c>
      <c r="F53" s="10" t="str">
        <f t="shared" si="4"/>
        <v>24</v>
      </c>
    </row>
    <row r="54" spans="1:6" x14ac:dyDescent="0.25">
      <c r="A54" s="8" t="s">
        <v>120</v>
      </c>
      <c r="B54" s="10" t="str">
        <f t="shared" si="0"/>
        <v>21016</v>
      </c>
      <c r="C54" s="1" t="str">
        <f t="shared" si="1"/>
        <v>Monday</v>
      </c>
      <c r="D54" s="10" t="str">
        <f t="shared" si="2"/>
        <v>0</v>
      </c>
      <c r="E54" s="1" t="str">
        <f t="shared" si="3"/>
        <v>Sunday</v>
      </c>
      <c r="F54" s="10" t="str">
        <f t="shared" si="4"/>
        <v>24</v>
      </c>
    </row>
  </sheetData>
  <mergeCells count="1">
    <mergeCell ref="B5:N5"/>
  </mergeCells>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P22"/>
  <sheetViews>
    <sheetView zoomScaleNormal="100" workbookViewId="0">
      <selection activeCell="F14" sqref="F14"/>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16" ht="21" x14ac:dyDescent="0.35">
      <c r="A1" s="40" t="s">
        <v>85</v>
      </c>
      <c r="B1" s="39" t="s">
        <v>167</v>
      </c>
    </row>
    <row r="2" spans="1:16" ht="18.75" x14ac:dyDescent="0.3">
      <c r="B2" s="38" t="s">
        <v>166</v>
      </c>
    </row>
    <row r="5" spans="1:16" ht="15" x14ac:dyDescent="0.25">
      <c r="B5" s="1" t="s">
        <v>151</v>
      </c>
    </row>
    <row r="6" spans="1:16" ht="15" x14ac:dyDescent="0.25">
      <c r="A6" s="3" t="s">
        <v>53</v>
      </c>
      <c r="B6" s="50" t="s">
        <v>180</v>
      </c>
      <c r="C6" s="50"/>
      <c r="D6" s="50"/>
      <c r="E6" s="50"/>
      <c r="F6" s="50"/>
      <c r="G6" s="50"/>
      <c r="H6" s="50"/>
    </row>
    <row r="7" spans="1:16" ht="15" x14ac:dyDescent="0.25">
      <c r="A7" s="3" t="s">
        <v>153</v>
      </c>
      <c r="B7" s="52" t="s">
        <v>181</v>
      </c>
      <c r="C7" s="52"/>
      <c r="D7" s="52"/>
      <c r="E7" s="52"/>
      <c r="F7" s="52"/>
      <c r="G7" s="52"/>
      <c r="H7" s="52"/>
      <c r="I7" s="52"/>
      <c r="J7" s="52"/>
      <c r="K7" s="52"/>
      <c r="L7" s="52"/>
      <c r="M7" s="52"/>
      <c r="N7" s="52"/>
      <c r="O7" s="52"/>
      <c r="P7" s="52"/>
    </row>
    <row r="10" spans="1:16" ht="23.25" x14ac:dyDescent="0.35">
      <c r="A10" s="16" t="s">
        <v>162</v>
      </c>
    </row>
    <row r="11" spans="1:16" ht="15" x14ac:dyDescent="0.25">
      <c r="A11" s="30" t="s">
        <v>86</v>
      </c>
      <c r="B11" s="15" t="s">
        <v>87</v>
      </c>
      <c r="C11" s="15" t="s">
        <v>88</v>
      </c>
    </row>
    <row r="12" spans="1:16" ht="15" x14ac:dyDescent="0.25">
      <c r="A12" s="30">
        <v>44927</v>
      </c>
      <c r="B12" s="15" t="s">
        <v>59</v>
      </c>
      <c r="C12" s="15">
        <v>200</v>
      </c>
    </row>
    <row r="13" spans="1:16" ht="15" x14ac:dyDescent="0.25">
      <c r="A13" s="30">
        <v>44928</v>
      </c>
      <c r="B13" s="15" t="s">
        <v>60</v>
      </c>
      <c r="C13" s="15" t="e">
        <v>#N/A</v>
      </c>
    </row>
    <row r="14" spans="1:16" ht="15" x14ac:dyDescent="0.25">
      <c r="A14" s="30">
        <v>44929</v>
      </c>
      <c r="B14" s="15" t="s">
        <v>61</v>
      </c>
      <c r="C14" s="15">
        <v>50</v>
      </c>
    </row>
    <row r="15" spans="1:16" ht="15" x14ac:dyDescent="0.25">
      <c r="A15" s="30">
        <v>44930</v>
      </c>
      <c r="B15" s="15" t="s">
        <v>62</v>
      </c>
      <c r="C15" s="15" t="e">
        <v>#N/A</v>
      </c>
    </row>
    <row r="16" spans="1:16" ht="15" x14ac:dyDescent="0.25">
      <c r="A16" s="30">
        <v>44931</v>
      </c>
      <c r="B16" s="15" t="s">
        <v>63</v>
      </c>
      <c r="C16" s="15">
        <v>10</v>
      </c>
    </row>
    <row r="17" spans="1:3" ht="15" x14ac:dyDescent="0.25">
      <c r="A17" s="30">
        <v>44932</v>
      </c>
      <c r="B17" s="15" t="s">
        <v>154</v>
      </c>
      <c r="C17" s="15">
        <v>150</v>
      </c>
    </row>
    <row r="18" spans="1:3" ht="15" x14ac:dyDescent="0.25">
      <c r="A18" s="30">
        <v>44933</v>
      </c>
      <c r="B18" s="15" t="s">
        <v>155</v>
      </c>
      <c r="C18" s="15">
        <v>80</v>
      </c>
    </row>
    <row r="19" spans="1:3" ht="15" x14ac:dyDescent="0.25">
      <c r="A19" s="30">
        <v>44934</v>
      </c>
      <c r="B19" s="15" t="s">
        <v>156</v>
      </c>
      <c r="C19" s="15" t="e">
        <v>#N/A</v>
      </c>
    </row>
    <row r="20" spans="1:3" ht="15" x14ac:dyDescent="0.25">
      <c r="A20" s="30">
        <v>44935</v>
      </c>
      <c r="B20" s="15" t="s">
        <v>157</v>
      </c>
      <c r="C20" s="15">
        <v>30</v>
      </c>
    </row>
    <row r="21" spans="1:3" ht="15" x14ac:dyDescent="0.25">
      <c r="A21" s="30">
        <v>44936</v>
      </c>
      <c r="B21" s="15" t="s">
        <v>158</v>
      </c>
      <c r="C21" s="15" t="e">
        <v>#N/A</v>
      </c>
    </row>
    <row r="22" spans="1:3" ht="15" x14ac:dyDescent="0.25">
      <c r="B22" s="15" t="s">
        <v>159</v>
      </c>
      <c r="C22" s="23" cm="1">
        <f t="array" ref="C22">SUM(_xlfn.IFNA(C12:C21,20))</f>
        <v>600</v>
      </c>
    </row>
  </sheetData>
  <mergeCells count="2">
    <mergeCell ref="B6:H6"/>
    <mergeCell ref="B7:P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W35"/>
  <sheetViews>
    <sheetView tabSelected="1" zoomScaleNormal="100" workbookViewId="0">
      <selection activeCell="K23" sqref="K23"/>
    </sheetView>
  </sheetViews>
  <sheetFormatPr defaultColWidth="11" defaultRowHeight="12.75" x14ac:dyDescent="0.2"/>
  <cols>
    <col min="1" max="1" width="28.1640625" style="2" bestFit="1" customWidth="1"/>
    <col min="2" max="16384" width="11" style="2"/>
  </cols>
  <sheetData>
    <row r="1" spans="1:23" ht="21" x14ac:dyDescent="0.35">
      <c r="A1" s="40" t="s">
        <v>98</v>
      </c>
      <c r="B1" s="39" t="s">
        <v>175</v>
      </c>
    </row>
    <row r="3" spans="1:23" ht="15" x14ac:dyDescent="0.25">
      <c r="B3" s="1" t="s">
        <v>151</v>
      </c>
    </row>
    <row r="4" spans="1:23" ht="18.75" x14ac:dyDescent="0.3">
      <c r="A4" s="41" t="s">
        <v>53</v>
      </c>
      <c r="B4" s="1"/>
      <c r="C4" s="51" t="s">
        <v>182</v>
      </c>
      <c r="D4" s="51"/>
      <c r="E4" s="51"/>
      <c r="F4" s="51"/>
      <c r="G4" s="51"/>
      <c r="H4" s="51"/>
      <c r="I4" s="51"/>
      <c r="J4" s="51"/>
      <c r="K4" s="51"/>
      <c r="L4" s="51"/>
      <c r="M4" s="51"/>
      <c r="N4" s="51"/>
      <c r="O4" s="51"/>
    </row>
    <row r="5" spans="1:23" ht="18.75" x14ac:dyDescent="0.3">
      <c r="A5" s="41" t="s">
        <v>153</v>
      </c>
      <c r="B5" s="53" t="s">
        <v>183</v>
      </c>
      <c r="C5" s="53"/>
      <c r="D5" s="53"/>
      <c r="E5" s="53"/>
      <c r="F5" s="53"/>
      <c r="G5" s="53"/>
      <c r="H5" s="53"/>
      <c r="I5" s="53"/>
      <c r="J5" s="53"/>
      <c r="K5" s="53"/>
      <c r="L5" s="53"/>
      <c r="M5" s="53"/>
      <c r="N5" s="53"/>
      <c r="O5" s="53"/>
      <c r="P5" s="53"/>
      <c r="Q5" s="54"/>
      <c r="R5" s="54"/>
      <c r="S5" s="54"/>
      <c r="T5" s="54"/>
      <c r="U5" s="54"/>
      <c r="V5" s="54"/>
      <c r="W5" s="54"/>
    </row>
    <row r="6" spans="1:23" ht="15" x14ac:dyDescent="0.25">
      <c r="A6" s="3"/>
      <c r="B6" s="1"/>
    </row>
    <row r="8" spans="1:23" ht="23.25" x14ac:dyDescent="0.35">
      <c r="A8" s="16" t="s">
        <v>162</v>
      </c>
      <c r="M8" s="16" t="s">
        <v>163</v>
      </c>
    </row>
    <row r="9" spans="1:23" ht="15" x14ac:dyDescent="0.25">
      <c r="A9" s="24"/>
      <c r="B9" s="24" t="s">
        <v>89</v>
      </c>
      <c r="C9" s="24" t="s">
        <v>90</v>
      </c>
      <c r="D9" s="24" t="s">
        <v>91</v>
      </c>
      <c r="E9" s="24" t="s">
        <v>92</v>
      </c>
      <c r="F9" s="24" t="s">
        <v>93</v>
      </c>
      <c r="G9" s="24" t="s">
        <v>94</v>
      </c>
      <c r="H9" s="24" t="s">
        <v>95</v>
      </c>
      <c r="I9" s="24" t="s">
        <v>96</v>
      </c>
      <c r="J9" s="24" t="s">
        <v>97</v>
      </c>
      <c r="M9" s="17" t="s">
        <v>43</v>
      </c>
      <c r="N9" s="17" t="s">
        <v>99</v>
      </c>
    </row>
    <row r="10" spans="1:23" ht="15" x14ac:dyDescent="0.25">
      <c r="A10" s="24" t="s">
        <v>89</v>
      </c>
      <c r="B10" s="23">
        <v>-1</v>
      </c>
      <c r="C10" s="23">
        <v>95</v>
      </c>
      <c r="D10" s="23">
        <v>-1</v>
      </c>
      <c r="E10" s="23">
        <v>185</v>
      </c>
      <c r="F10" s="23">
        <v>255</v>
      </c>
      <c r="G10" s="23">
        <v>305</v>
      </c>
      <c r="H10" s="23">
        <v>415</v>
      </c>
      <c r="I10" s="23">
        <v>480</v>
      </c>
      <c r="J10" s="23">
        <v>525</v>
      </c>
      <c r="M10" s="10">
        <v>10100</v>
      </c>
      <c r="N10" s="10" t="s">
        <v>89</v>
      </c>
    </row>
    <row r="11" spans="1:23" ht="15" x14ac:dyDescent="0.25">
      <c r="A11" s="24" t="s">
        <v>90</v>
      </c>
      <c r="B11" s="23">
        <v>95</v>
      </c>
      <c r="C11" s="23">
        <v>-1</v>
      </c>
      <c r="D11" s="23">
        <v>-1</v>
      </c>
      <c r="E11" s="23">
        <v>90</v>
      </c>
      <c r="F11" s="23">
        <v>160</v>
      </c>
      <c r="G11" s="23">
        <v>210</v>
      </c>
      <c r="H11" s="23">
        <v>325</v>
      </c>
      <c r="I11" s="23">
        <v>390</v>
      </c>
      <c r="J11" s="23">
        <v>430</v>
      </c>
      <c r="M11" s="10">
        <v>10102</v>
      </c>
      <c r="N11" s="10" t="s">
        <v>90</v>
      </c>
    </row>
    <row r="12" spans="1:23" ht="15" x14ac:dyDescent="0.25">
      <c r="A12" s="24" t="s">
        <v>91</v>
      </c>
      <c r="B12" s="23">
        <v>-1</v>
      </c>
      <c r="C12" s="23">
        <v>-1</v>
      </c>
      <c r="D12" s="23">
        <v>-1</v>
      </c>
      <c r="E12" s="23">
        <v>60</v>
      </c>
      <c r="F12" s="23">
        <v>130</v>
      </c>
      <c r="G12" s="23">
        <v>180</v>
      </c>
      <c r="H12" s="23">
        <v>295</v>
      </c>
      <c r="I12" s="23">
        <v>355</v>
      </c>
      <c r="J12" s="23">
        <v>400</v>
      </c>
      <c r="M12" s="10">
        <v>10104</v>
      </c>
      <c r="N12" s="10" t="s">
        <v>91</v>
      </c>
    </row>
    <row r="13" spans="1:23" ht="15" x14ac:dyDescent="0.25">
      <c r="A13" s="24" t="s">
        <v>92</v>
      </c>
      <c r="B13" s="23">
        <v>185</v>
      </c>
      <c r="C13" s="23">
        <v>90</v>
      </c>
      <c r="D13" s="23">
        <v>60</v>
      </c>
      <c r="E13" s="23">
        <v>-1</v>
      </c>
      <c r="F13" s="23">
        <v>70</v>
      </c>
      <c r="G13" s="23">
        <v>120</v>
      </c>
      <c r="H13" s="23">
        <v>235</v>
      </c>
      <c r="I13" s="23">
        <v>300</v>
      </c>
      <c r="J13" s="23">
        <v>340</v>
      </c>
      <c r="M13" s="10">
        <v>10106</v>
      </c>
      <c r="N13" s="10" t="s">
        <v>92</v>
      </c>
    </row>
    <row r="14" spans="1:23" ht="15" x14ac:dyDescent="0.25">
      <c r="A14" s="24" t="s">
        <v>93</v>
      </c>
      <c r="B14" s="23">
        <v>255</v>
      </c>
      <c r="C14" s="23">
        <v>160</v>
      </c>
      <c r="D14" s="23">
        <v>130</v>
      </c>
      <c r="E14" s="23">
        <v>70</v>
      </c>
      <c r="F14" s="23">
        <v>-1</v>
      </c>
      <c r="G14" s="23">
        <v>50</v>
      </c>
      <c r="H14" s="23">
        <v>165</v>
      </c>
      <c r="I14" s="23">
        <v>230</v>
      </c>
      <c r="J14" s="23">
        <v>270</v>
      </c>
      <c r="M14" s="10">
        <v>10108</v>
      </c>
      <c r="N14" s="10" t="s">
        <v>93</v>
      </c>
    </row>
    <row r="15" spans="1:23" ht="15" x14ac:dyDescent="0.25">
      <c r="A15" s="24" t="s">
        <v>94</v>
      </c>
      <c r="B15" s="23">
        <v>305</v>
      </c>
      <c r="C15" s="23">
        <v>210</v>
      </c>
      <c r="D15" s="23">
        <v>180</v>
      </c>
      <c r="E15" s="23">
        <v>120</v>
      </c>
      <c r="F15" s="23">
        <v>50</v>
      </c>
      <c r="G15" s="23">
        <v>-1</v>
      </c>
      <c r="H15" s="23">
        <v>115</v>
      </c>
      <c r="I15" s="23">
        <v>180</v>
      </c>
      <c r="J15" s="23">
        <v>220</v>
      </c>
      <c r="M15" s="10">
        <v>10110</v>
      </c>
      <c r="N15" s="10" t="s">
        <v>94</v>
      </c>
    </row>
    <row r="16" spans="1:23" ht="15" x14ac:dyDescent="0.25">
      <c r="A16" s="24" t="s">
        <v>95</v>
      </c>
      <c r="B16" s="23">
        <v>415</v>
      </c>
      <c r="C16" s="23">
        <v>325</v>
      </c>
      <c r="D16" s="23">
        <v>295</v>
      </c>
      <c r="E16" s="23">
        <v>235</v>
      </c>
      <c r="F16" s="23">
        <v>165</v>
      </c>
      <c r="G16" s="23">
        <v>115</v>
      </c>
      <c r="H16" s="23">
        <v>-1</v>
      </c>
      <c r="I16" s="23">
        <v>65</v>
      </c>
      <c r="J16" s="23">
        <v>105</v>
      </c>
      <c r="M16" s="10">
        <v>10112</v>
      </c>
      <c r="N16" s="10" t="s">
        <v>95</v>
      </c>
    </row>
    <row r="17" spans="1:14" ht="15" x14ac:dyDescent="0.25">
      <c r="A17" s="24" t="s">
        <v>96</v>
      </c>
      <c r="B17" s="23">
        <v>480</v>
      </c>
      <c r="C17" s="23">
        <v>390</v>
      </c>
      <c r="D17" s="23">
        <v>355</v>
      </c>
      <c r="E17" s="23">
        <v>300</v>
      </c>
      <c r="F17" s="23">
        <v>230</v>
      </c>
      <c r="G17" s="23">
        <v>180</v>
      </c>
      <c r="H17" s="23">
        <v>65</v>
      </c>
      <c r="I17" s="23">
        <v>-1</v>
      </c>
      <c r="J17" s="23">
        <v>40</v>
      </c>
      <c r="M17" s="10">
        <v>10114</v>
      </c>
      <c r="N17" s="10" t="s">
        <v>96</v>
      </c>
    </row>
    <row r="18" spans="1:14" ht="15" x14ac:dyDescent="0.25">
      <c r="A18" s="24" t="s">
        <v>97</v>
      </c>
      <c r="B18" s="23">
        <v>525</v>
      </c>
      <c r="C18" s="23">
        <v>430</v>
      </c>
      <c r="D18" s="23">
        <v>400</v>
      </c>
      <c r="E18" s="23">
        <v>340</v>
      </c>
      <c r="F18" s="23">
        <v>270</v>
      </c>
      <c r="G18" s="23">
        <v>220</v>
      </c>
      <c r="H18" s="23">
        <v>105</v>
      </c>
      <c r="I18" s="23">
        <v>40</v>
      </c>
      <c r="J18" s="23">
        <v>-1</v>
      </c>
      <c r="M18" s="11">
        <v>10116</v>
      </c>
      <c r="N18" s="11" t="s">
        <v>97</v>
      </c>
    </row>
    <row r="21" spans="1:14" ht="23.25" x14ac:dyDescent="0.35">
      <c r="A21" s="16" t="s">
        <v>168</v>
      </c>
    </row>
    <row r="22" spans="1:14" ht="15" x14ac:dyDescent="0.25">
      <c r="A22" s="12" t="s">
        <v>100</v>
      </c>
      <c r="B22" s="15" t="s">
        <v>101</v>
      </c>
      <c r="C22" s="14" t="s">
        <v>102</v>
      </c>
    </row>
    <row r="23" spans="1:14" ht="15" x14ac:dyDescent="0.25">
      <c r="A23" s="7">
        <v>10100</v>
      </c>
      <c r="B23" s="10">
        <v>10102</v>
      </c>
      <c r="C23" s="42">
        <f>INDEX($A$9:$J$18,MATCH(VLOOKUP(A23,$M$9:$N$18,2,FALSE),$A$9:$A$18,0),MATCH(VLOOKUP(B23,$M$9:$N$18,2,FALSE),$A$9:$J$9,0))</f>
        <v>95</v>
      </c>
    </row>
    <row r="24" spans="1:14" ht="15" x14ac:dyDescent="0.25">
      <c r="A24" s="7">
        <v>10100</v>
      </c>
      <c r="B24" s="10">
        <v>10104</v>
      </c>
      <c r="C24" s="42">
        <f t="shared" ref="C24:C35" si="0">INDEX($A$9:$J$18,MATCH(VLOOKUP(A24,$M$9:$N$18,2,FALSE),$A$9:$A$18,0),MATCH(VLOOKUP(B24,$M$9:$N$18,2,FALSE),$A$9:$J$9,0))</f>
        <v>-1</v>
      </c>
    </row>
    <row r="25" spans="1:14" ht="15" x14ac:dyDescent="0.25">
      <c r="A25" s="7">
        <v>10108</v>
      </c>
      <c r="B25" s="10">
        <v>10102</v>
      </c>
      <c r="C25" s="42">
        <f t="shared" si="0"/>
        <v>160</v>
      </c>
    </row>
    <row r="26" spans="1:14" ht="15" x14ac:dyDescent="0.25">
      <c r="A26" s="7">
        <v>10100</v>
      </c>
      <c r="B26" s="10">
        <v>10106</v>
      </c>
      <c r="C26" s="42">
        <f t="shared" si="0"/>
        <v>185</v>
      </c>
    </row>
    <row r="27" spans="1:14" ht="15" x14ac:dyDescent="0.25">
      <c r="A27" s="7">
        <v>10108</v>
      </c>
      <c r="B27" s="10">
        <v>10110</v>
      </c>
      <c r="C27" s="42">
        <f t="shared" si="0"/>
        <v>50</v>
      </c>
    </row>
    <row r="28" spans="1:14" ht="15" x14ac:dyDescent="0.25">
      <c r="A28" s="7">
        <v>10102</v>
      </c>
      <c r="B28" s="10">
        <v>10104</v>
      </c>
      <c r="C28" s="42">
        <f t="shared" si="0"/>
        <v>-1</v>
      </c>
    </row>
    <row r="29" spans="1:14" ht="15" x14ac:dyDescent="0.25">
      <c r="A29" s="7">
        <v>10106</v>
      </c>
      <c r="B29" s="10">
        <v>10108</v>
      </c>
      <c r="C29" s="42">
        <f t="shared" si="0"/>
        <v>70</v>
      </c>
    </row>
    <row r="30" spans="1:14" ht="15" x14ac:dyDescent="0.25">
      <c r="A30" s="7">
        <v>10102</v>
      </c>
      <c r="B30" s="10">
        <v>10106</v>
      </c>
      <c r="C30" s="42">
        <f t="shared" si="0"/>
        <v>90</v>
      </c>
    </row>
    <row r="31" spans="1:14" ht="15" x14ac:dyDescent="0.25">
      <c r="A31" s="7">
        <v>10110</v>
      </c>
      <c r="B31" s="10">
        <v>10114</v>
      </c>
      <c r="C31" s="42">
        <f t="shared" si="0"/>
        <v>180</v>
      </c>
    </row>
    <row r="32" spans="1:14" ht="15" x14ac:dyDescent="0.25">
      <c r="A32" s="7">
        <v>10104</v>
      </c>
      <c r="B32" s="10">
        <v>10106</v>
      </c>
      <c r="C32" s="42">
        <f t="shared" si="0"/>
        <v>60</v>
      </c>
    </row>
    <row r="33" spans="1:3" ht="15" x14ac:dyDescent="0.25">
      <c r="A33" s="7">
        <v>10110</v>
      </c>
      <c r="B33" s="10">
        <v>10112</v>
      </c>
      <c r="C33" s="42">
        <f t="shared" si="0"/>
        <v>115</v>
      </c>
    </row>
    <row r="34" spans="1:3" ht="15" x14ac:dyDescent="0.25">
      <c r="A34" s="7">
        <v>10100</v>
      </c>
      <c r="B34" s="10">
        <v>10114</v>
      </c>
      <c r="C34" s="42">
        <f t="shared" si="0"/>
        <v>480</v>
      </c>
    </row>
    <row r="35" spans="1:3" ht="15" x14ac:dyDescent="0.25">
      <c r="A35" s="8">
        <v>10112</v>
      </c>
      <c r="B35" s="11">
        <v>10116</v>
      </c>
      <c r="C35" s="42">
        <f t="shared" si="0"/>
        <v>105</v>
      </c>
    </row>
  </sheetData>
  <mergeCells count="1">
    <mergeCell ref="C4:O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Bendalam Kaushik</cp:lastModifiedBy>
  <dcterms:created xsi:type="dcterms:W3CDTF">2015-02-10T17:33:11Z</dcterms:created>
  <dcterms:modified xsi:type="dcterms:W3CDTF">2023-12-10T05:53:36Z</dcterms:modified>
</cp:coreProperties>
</file>